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76E3F0BF-A198-C740-872A-26EBCF74928B}" xr6:coauthVersionLast="47" xr6:coauthVersionMax="47" xr10:uidLastSave="{00000000-0000-0000-0000-000000000000}"/>
  <bookViews>
    <workbookView xWindow="-20" yWindow="660" windowWidth="30240" windowHeight="177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1" l="1"/>
  <c r="K24" i="1"/>
  <c r="AD2" i="2" l="1"/>
  <c r="AF2" i="2"/>
  <c r="AC2" i="2"/>
  <c r="AE9" i="2"/>
  <c r="AE8" i="2"/>
  <c r="AE7" i="2"/>
  <c r="AE6" i="2"/>
  <c r="AE2" i="2" s="1"/>
  <c r="AA2" i="2"/>
  <c r="T18" i="2"/>
  <c r="X2" i="2" l="1"/>
  <c r="W2" i="2"/>
  <c r="Z44" i="1"/>
  <c r="Z43" i="1"/>
  <c r="Y2" i="2" l="1"/>
  <c r="U18" i="2"/>
  <c r="S2" i="2" s="1"/>
  <c r="K27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39" i="1"/>
  <c r="E3" i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21" i="1" l="1"/>
  <c r="H3" i="1" s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42" i="1" s="1"/>
  <c r="AA45" i="1" s="1"/>
  <c r="H5" i="1"/>
  <c r="W9" i="1" s="1"/>
  <c r="M27" i="1"/>
  <c r="AA29" i="1" s="1"/>
  <c r="M23" i="2"/>
  <c r="M29" i="2" s="1"/>
  <c r="Y27" i="2" s="1"/>
  <c r="J32" i="1" l="1"/>
  <c r="Q32" i="1" l="1"/>
  <c r="W12" i="1"/>
  <c r="W2" i="1" l="1"/>
  <c r="AA31" i="1" s="1"/>
  <c r="AA2" i="1" s="1"/>
  <c r="E32" i="1"/>
</calcChain>
</file>

<file path=xl/sharedStrings.xml><?xml version="1.0" encoding="utf-8"?>
<sst xmlns="http://schemas.openxmlformats.org/spreadsheetml/2006/main" count="201" uniqueCount="156">
  <si>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</si>
  <si>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</si>
  <si>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</si>
  <si>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</si>
  <si>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</si>
  <si>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</si>
  <si>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</si>
  <si>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</si>
  <si>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</si>
  <si>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</si>
  <si>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</si>
  <si>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</si>
  <si>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</si>
  <si>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</si>
  <si>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</si>
  <si>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</si>
  <si>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</si>
  <si>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</si>
  <si>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</si>
  <si>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</si>
  <si>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</si>
  <si>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</si>
  <si>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</si>
  <si>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</si>
  <si>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</si>
  <si>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</si>
  <si>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</si>
  <si>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</si>
  <si>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</si>
  <si>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</si>
  <si>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</si>
  <si>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</si>
  <si>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</si>
  <si>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</si>
  <si>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</si>
  <si>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</si>
  <si>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</si>
  <si>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</si>
  <si>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</si>
  <si>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</si>
  <si>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</si>
  <si>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</si>
  <si>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</si>
  <si>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</si>
  <si>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</si>
  <si>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</si>
  <si>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</si>
  <si>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</si>
  <si>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</si>
  <si>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</si>
  <si>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</si>
  <si>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</si>
  <si>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</si>
  <si>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</si>
  <si>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</si>
  <si>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</si>
  <si>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</si>
  <si>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</si>
  <si>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</si>
  <si>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</si>
  <si>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</si>
  <si>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</si>
  <si>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</si>
  <si>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</si>
  <si>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</si>
  <si>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</si>
  <si>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</si>
  <si>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</si>
  <si>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</si>
  <si>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</si>
  <si>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</si>
  <si>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</si>
  <si>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</si>
  <si>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</si>
  <si>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</si>
  <si>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</si>
  <si>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</si>
  <si>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</si>
  <si>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</si>
  <si>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</si>
  <si>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</si>
  <si>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</si>
  <si>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</si>
  <si>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</si>
  <si>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</si>
  <si>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</si>
  <si>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</si>
  <si>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</si>
  <si>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</si>
  <si>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</si>
  <si>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</si>
  <si>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</si>
  <si>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</si>
  <si>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</si>
  <si>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</si>
  <si>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</si>
  <si>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</si>
  <si>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</si>
  <si>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</si>
  <si>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</si>
  <si>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</si>
  <si>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</si>
  <si>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</si>
  <si>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ثياب</t>
  </si>
  <si>
    <t>عملية القسطرة لأبوي</t>
  </si>
  <si>
    <t>تصليح السيارة</t>
  </si>
  <si>
    <t>علاج إرشاد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</si>
  <si>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</si>
  <si>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</si>
  <si>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</si>
  <si>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</si>
  <si>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</si>
  <si>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</si>
  <si>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</si>
  <si>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تصليح الماك</t>
  </si>
  <si>
    <t>حلاقة ومصاريف عيد</t>
  </si>
  <si>
    <t>صدقات</t>
  </si>
  <si>
    <t>طلعة هشام</t>
  </si>
  <si>
    <t>عطر وسحور</t>
  </si>
  <si>
    <t>عيدية منى</t>
  </si>
  <si>
    <t>غدا العيد</t>
  </si>
  <si>
    <t>قسط كنبة</t>
  </si>
  <si>
    <t>ملابس صيف</t>
  </si>
  <si>
    <t>ألعاب أطفال للعيد</t>
  </si>
  <si>
    <t>شغالة باليوم</t>
  </si>
  <si>
    <t>تجديد جواز منى</t>
  </si>
  <si>
    <t>قسط الجامعة 2- الفصل 1</t>
  </si>
  <si>
    <t>كنبة</t>
  </si>
  <si>
    <t>كفر الأودي الأمامي</t>
  </si>
  <si>
    <t>tamara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</si>
  <si>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</si>
  <si>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</si>
  <si>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</si>
  <si>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</si>
  <si>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</si>
  <si>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</si>
  <si>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</si>
  <si>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</si>
  <si>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</si>
  <si>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</si>
  <si>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</si>
  <si>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</si>
  <si>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دفعات متبقية</t>
  </si>
  <si>
    <t>حجز فندق ١ يوم</t>
  </si>
  <si>
    <t>دولارات</t>
  </si>
  <si>
    <t>جنيهات</t>
  </si>
  <si>
    <t>نثريات سفر</t>
  </si>
  <si>
    <t>العملية 1500 متوقع</t>
  </si>
  <si>
    <t>أقساط</t>
  </si>
  <si>
    <t>البيان</t>
  </si>
  <si>
    <t>القسط</t>
  </si>
  <si>
    <t>شهر الشراء</t>
  </si>
  <si>
    <t>المدفوع</t>
  </si>
  <si>
    <t>كنبة استرخاء/الرقيب</t>
  </si>
  <si>
    <t>تذكرة ذهاب مصر</t>
  </si>
  <si>
    <t>تذكرة عودة مصر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</si>
</sst>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3" fillId="4" borderId="0" xfId="0" applyFont="1" applyFill="1"/>
    <xf numFmtId="0" fontId="4" fillId="4" borderId="0" xfId="0" applyFont="1" applyFill="1" applyAlignment="1">
      <alignment readingOrder="1"/>
    </xf>
    <xf numFmtId="0" fontId="5" fillId="4" borderId="0" xfId="0" applyFont="1" applyFill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/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51</v>
      </c>
      <c r="C1" s="4"/>
      <c r="D1" s="3" t="s">
        <v>18</v>
      </c>
      <c r="E1" s="19" t="s">
        <v>73</v>
      </c>
      <c r="F1" s="19"/>
      <c r="G1" s="19" t="s">
        <v>72</v>
      </c>
      <c r="H1" s="19"/>
      <c r="I1" s="4"/>
      <c r="J1" s="3" t="s">
        <v>17</v>
      </c>
      <c r="R1" s="4"/>
      <c r="S1" s="3" t="s">
        <v>63</v>
      </c>
      <c r="U1" s="4"/>
      <c r="V1" s="3" t="s">
        <v>45</v>
      </c>
      <c r="X1" s="4"/>
      <c r="Y1" s="3" t="s">
        <v>95</v>
      </c>
      <c r="AB1" s="4"/>
      <c r="AC1" s="3" t="s">
        <v>84</v>
      </c>
    </row>
    <row r="2" spans="1:32" x14ac:dyDescent="0.3">
      <c r="A2" s="3">
        <v>26977</v>
      </c>
      <c r="C2" s="4"/>
      <c r="E2" s="3" t="s">
        <v>61</v>
      </c>
      <c r="F2" s="3" t="s">
        <v>60</v>
      </c>
      <c r="G2" s="3" t="s">
        <v>61</v>
      </c>
      <c r="H2" s="3" t="s">
        <v>60</v>
      </c>
      <c r="I2" s="4"/>
      <c r="J2" s="3" t="s">
        <v>2</v>
      </c>
      <c r="O2" s="3">
        <f>SUM(O7:O26)</f>
        <v>4016</v>
      </c>
      <c r="R2" s="4"/>
      <c r="S2" s="3" t="s">
        <v>2</v>
      </c>
      <c r="T2" s="3">
        <f>SUM(T7:T16)</f>
        <v>595</v>
      </c>
      <c r="U2" s="4"/>
      <c r="V2" s="3" t="s">
        <v>2</v>
      </c>
      <c r="W2" s="3">
        <f>SUM(W7:W16)</f>
        <v>9932</v>
      </c>
      <c r="X2" s="4"/>
      <c r="Y2" s="3" t="s">
        <v>2</v>
      </c>
      <c r="AA2" s="3">
        <f>SUM(AA7:AB35)</f>
        <v>23589</v>
      </c>
      <c r="AB2" s="4"/>
      <c r="AC2" s="3" t="s">
        <v>2</v>
      </c>
      <c r="AD2" s="3">
        <f>SUM(AD7:AD21)</f>
        <v>2892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2007</v>
      </c>
      <c r="F3" s="3">
        <f>SUM(F7:F28)</f>
        <v>5645</v>
      </c>
      <c r="G3" s="3">
        <f>SUM(G7:G25)</f>
        <v>0</v>
      </c>
      <c r="H3" s="3">
        <f>SUM(H7:H25)</f>
        <v>2595</v>
      </c>
      <c r="I3" s="4"/>
      <c r="R3" s="4"/>
      <c r="S3" s="5"/>
      <c r="U3" s="4"/>
      <c r="X3" s="4"/>
      <c r="AB3" s="4"/>
      <c r="AC3" s="3" t="s">
        <v>20</v>
      </c>
      <c r="AD3" s="3">
        <f>AA21-AD2</f>
        <v>226</v>
      </c>
    </row>
    <row r="4" spans="1:32" x14ac:dyDescent="0.3">
      <c r="C4" s="4"/>
      <c r="D4" s="3" t="s">
        <v>62</v>
      </c>
      <c r="E4" s="3">
        <f>B11</f>
        <v>5600</v>
      </c>
      <c r="F4" s="3">
        <f>B15</f>
        <v>9027</v>
      </c>
      <c r="G4" s="3">
        <f>E5</f>
        <v>-423</v>
      </c>
      <c r="H4" s="3">
        <f>F5</f>
        <v>3382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-423</v>
      </c>
      <c r="F5" s="3">
        <f>F4-F3</f>
        <v>3382</v>
      </c>
      <c r="G5" s="3">
        <f>G4-G3</f>
        <v>-423</v>
      </c>
      <c r="H5" s="3">
        <f>H4-H3</f>
        <v>787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76</v>
      </c>
      <c r="L6" s="8" t="s">
        <v>77</v>
      </c>
      <c r="M6" s="8" t="s">
        <v>107</v>
      </c>
      <c r="N6" s="8" t="s">
        <v>59</v>
      </c>
      <c r="O6" s="8" t="s">
        <v>2</v>
      </c>
      <c r="P6" s="18" t="s">
        <v>56</v>
      </c>
      <c r="Q6" s="18"/>
      <c r="R6" s="9"/>
      <c r="U6" s="9"/>
      <c r="X6" s="9"/>
      <c r="AB6" s="9"/>
    </row>
    <row r="7" spans="1:32" x14ac:dyDescent="0.3">
      <c r="A7" s="1" t="s">
        <v>64</v>
      </c>
      <c r="B7" s="3">
        <v>800</v>
      </c>
      <c r="C7" s="4"/>
      <c r="D7" s="3" t="s">
        <v>114</v>
      </c>
      <c r="F7" s="3">
        <v>1600</v>
      </c>
      <c r="I7" s="4"/>
      <c r="J7" s="3" t="s">
        <v>0</v>
      </c>
      <c r="M7" s="3">
        <f>SUM(N7:O7)</f>
        <v>134</v>
      </c>
      <c r="O7" s="3">
        <f>SUM(P7:Q7)</f>
        <v>134</v>
      </c>
      <c r="Q7" s="3">
        <v>134</v>
      </c>
      <c r="R7" s="4"/>
      <c r="S7" s="3" t="s">
        <v>123</v>
      </c>
      <c r="T7" s="3">
        <v>64</v>
      </c>
      <c r="U7" s="4"/>
      <c r="V7" s="3" t="s">
        <v>46</v>
      </c>
      <c r="W7" s="3">
        <f>B13</f>
        <v>3050</v>
      </c>
      <c r="X7" s="4"/>
      <c r="Y7" s="1" t="s">
        <v>64</v>
      </c>
      <c r="Z7" s="3">
        <v>800</v>
      </c>
      <c r="AB7" s="4"/>
      <c r="AC7" s="3" t="s">
        <v>80</v>
      </c>
      <c r="AD7" s="15">
        <v>1580</v>
      </c>
      <c r="AE7" s="3" t="s">
        <v>88</v>
      </c>
      <c r="AF7" s="10"/>
    </row>
    <row r="8" spans="1:32" x14ac:dyDescent="0.3">
      <c r="A8" s="1" t="s">
        <v>65</v>
      </c>
      <c r="B8" s="3">
        <v>3000</v>
      </c>
      <c r="C8" s="4"/>
      <c r="D8" s="3" t="s">
        <v>103</v>
      </c>
      <c r="E8" s="3">
        <v>531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124</v>
      </c>
      <c r="T8" s="3">
        <v>101</v>
      </c>
      <c r="U8" s="4"/>
      <c r="V8" s="3" t="s">
        <v>48</v>
      </c>
      <c r="W8" s="3">
        <f>الأرصدة!L3</f>
        <v>0</v>
      </c>
      <c r="X8" s="4"/>
      <c r="Y8" s="1" t="s">
        <v>66</v>
      </c>
      <c r="Z8" s="3">
        <v>1500</v>
      </c>
      <c r="AB8" s="4"/>
      <c r="AC8" s="3" t="s">
        <v>83</v>
      </c>
      <c r="AD8" s="15">
        <v>350</v>
      </c>
      <c r="AE8" s="3" t="s">
        <v>87</v>
      </c>
    </row>
    <row r="9" spans="1:32" x14ac:dyDescent="0.3">
      <c r="A9" s="1" t="s">
        <v>66</v>
      </c>
      <c r="B9" s="3">
        <v>1500</v>
      </c>
      <c r="C9" s="4"/>
      <c r="D9" s="3" t="s">
        <v>115</v>
      </c>
      <c r="F9" s="3">
        <v>300</v>
      </c>
      <c r="I9" s="4"/>
      <c r="J9" s="3" t="s">
        <v>3</v>
      </c>
      <c r="K9" s="3">
        <v>80</v>
      </c>
      <c r="M9" s="3">
        <v>115</v>
      </c>
      <c r="O9" s="3">
        <f t="shared" ref="O9:O24" si="0">SUM(K9:N9)</f>
        <v>195</v>
      </c>
      <c r="R9" s="4"/>
      <c r="S9" s="3" t="s">
        <v>125</v>
      </c>
      <c r="T9" s="3">
        <v>430</v>
      </c>
      <c r="U9" s="4"/>
      <c r="V9" s="3" t="s">
        <v>53</v>
      </c>
      <c r="W9" s="3">
        <f>H5</f>
        <v>787</v>
      </c>
      <c r="X9" s="4"/>
      <c r="Y9" s="3" t="s">
        <v>74</v>
      </c>
      <c r="AA9" s="15">
        <f>SUM(Z7:Z8)</f>
        <v>2300</v>
      </c>
      <c r="AB9" s="4"/>
      <c r="AC9" s="3" t="s">
        <v>3</v>
      </c>
      <c r="AD9" s="15">
        <v>80</v>
      </c>
      <c r="AE9" s="3" t="s">
        <v>86</v>
      </c>
    </row>
    <row r="10" spans="1:32" x14ac:dyDescent="0.3">
      <c r="A10" s="1" t="s">
        <v>67</v>
      </c>
      <c r="B10" s="3">
        <v>2000</v>
      </c>
      <c r="C10" s="4"/>
      <c r="D10" s="3" t="s">
        <v>116</v>
      </c>
      <c r="F10" s="3">
        <v>1800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54</v>
      </c>
      <c r="W10" s="3">
        <v>0</v>
      </c>
      <c r="X10" s="4"/>
      <c r="AB10" s="4"/>
      <c r="AC10" s="3" t="s">
        <v>5</v>
      </c>
      <c r="AD10" s="15">
        <v>80</v>
      </c>
      <c r="AE10" s="3" t="s">
        <v>85</v>
      </c>
    </row>
    <row r="11" spans="1:32" x14ac:dyDescent="0.3">
      <c r="A11" s="1" t="s">
        <v>68</v>
      </c>
      <c r="B11" s="3">
        <v>5600</v>
      </c>
      <c r="C11" s="4"/>
      <c r="D11" s="3" t="s">
        <v>117</v>
      </c>
      <c r="F11" s="3">
        <v>300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v>27</v>
      </c>
      <c r="X11" s="4"/>
      <c r="Y11" s="1" t="s">
        <v>65</v>
      </c>
      <c r="AA11" s="15">
        <v>3000</v>
      </c>
      <c r="AB11" s="4"/>
      <c r="AC11" s="3" t="s">
        <v>75</v>
      </c>
      <c r="AD11" s="15">
        <v>120</v>
      </c>
      <c r="AE11" s="3" t="s">
        <v>89</v>
      </c>
    </row>
    <row r="12" spans="1:32" x14ac:dyDescent="0.3">
      <c r="A12" s="1" t="s">
        <v>69</v>
      </c>
      <c r="B12" s="3">
        <v>1000</v>
      </c>
      <c r="C12" s="4"/>
      <c r="D12" s="3" t="s">
        <v>118</v>
      </c>
      <c r="E12" s="3">
        <v>276</v>
      </c>
      <c r="I12" s="4"/>
      <c r="J12" s="3" t="s">
        <v>75</v>
      </c>
      <c r="K12" s="3">
        <v>120</v>
      </c>
      <c r="O12" s="3">
        <f t="shared" si="0"/>
        <v>120</v>
      </c>
      <c r="R12" s="4"/>
      <c r="U12" s="4"/>
      <c r="V12" s="3" t="s">
        <v>57</v>
      </c>
      <c r="W12" s="3">
        <f>J32</f>
        <v>6068</v>
      </c>
      <c r="X12" s="4"/>
      <c r="AB12" s="4"/>
      <c r="AC12" s="3" t="s">
        <v>11</v>
      </c>
      <c r="AD12" s="3">
        <v>77</v>
      </c>
      <c r="AE12" s="3" t="s">
        <v>90</v>
      </c>
    </row>
    <row r="13" spans="1:32" x14ac:dyDescent="0.3">
      <c r="A13" s="1" t="s">
        <v>24</v>
      </c>
      <c r="B13" s="3">
        <v>3050</v>
      </c>
      <c r="C13" s="4"/>
      <c r="D13" s="3" t="s">
        <v>106</v>
      </c>
      <c r="F13" s="3">
        <v>345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70</v>
      </c>
      <c r="AA13" s="15">
        <v>1000</v>
      </c>
      <c r="AB13" s="4"/>
      <c r="AC13" s="3" t="s">
        <v>14</v>
      </c>
      <c r="AD13" s="3">
        <v>150</v>
      </c>
      <c r="AE13" s="3" t="s">
        <v>91</v>
      </c>
    </row>
    <row r="14" spans="1:32" x14ac:dyDescent="0.3">
      <c r="A14" s="1" t="s">
        <v>70</v>
      </c>
      <c r="B14" s="3">
        <v>1000</v>
      </c>
      <c r="C14" s="4"/>
      <c r="D14" s="3" t="s">
        <v>119</v>
      </c>
      <c r="F14" s="3">
        <v>300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  <c r="AC14" s="3" t="s">
        <v>112</v>
      </c>
      <c r="AD14" s="15">
        <v>154</v>
      </c>
      <c r="AE14" s="3" t="s">
        <v>129</v>
      </c>
    </row>
    <row r="15" spans="1:32" x14ac:dyDescent="0.3">
      <c r="A15" s="1" t="s">
        <v>71</v>
      </c>
      <c r="B15" s="3">
        <v>9027</v>
      </c>
      <c r="C15" s="4"/>
      <c r="D15" s="3" t="s">
        <v>120</v>
      </c>
      <c r="F15" s="3">
        <v>300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78</v>
      </c>
      <c r="Z15" s="3">
        <f>K27</f>
        <v>2345</v>
      </c>
      <c r="AB15" s="4"/>
      <c r="AC15" s="3" t="s">
        <v>127</v>
      </c>
      <c r="AD15" s="15">
        <v>301</v>
      </c>
      <c r="AE15" s="3" t="s">
        <v>87</v>
      </c>
    </row>
    <row r="16" spans="1:32" x14ac:dyDescent="0.3">
      <c r="C16" s="4"/>
      <c r="D16" s="3" t="s">
        <v>121</v>
      </c>
      <c r="F16" s="3">
        <v>350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79</v>
      </c>
      <c r="Z16" s="3">
        <v>1000</v>
      </c>
      <c r="AB16" s="4"/>
    </row>
    <row r="17" spans="3:28" x14ac:dyDescent="0.3">
      <c r="C17" s="4"/>
      <c r="D17" s="3" t="s">
        <v>44</v>
      </c>
      <c r="E17" s="3">
        <v>1200</v>
      </c>
      <c r="I17" s="4"/>
      <c r="J17" s="3" t="s">
        <v>10</v>
      </c>
      <c r="N17" s="3">
        <v>27</v>
      </c>
      <c r="O17" s="3">
        <f t="shared" si="0"/>
        <v>27</v>
      </c>
      <c r="R17" s="4"/>
      <c r="U17" s="4"/>
      <c r="X17" s="4"/>
      <c r="Y17" s="3" t="s">
        <v>67</v>
      </c>
      <c r="Z17" s="3">
        <v>0</v>
      </c>
      <c r="AB17" s="4"/>
    </row>
    <row r="18" spans="3:28" x14ac:dyDescent="0.3">
      <c r="C18" s="4"/>
      <c r="D18" s="3" t="s">
        <v>122</v>
      </c>
      <c r="F18" s="3">
        <v>350</v>
      </c>
      <c r="I18" s="4"/>
      <c r="J18" s="14" t="s">
        <v>11</v>
      </c>
      <c r="K18" s="3">
        <v>77</v>
      </c>
      <c r="O18" s="3">
        <f t="shared" si="0"/>
        <v>77</v>
      </c>
      <c r="R18" s="4"/>
      <c r="U18" s="4"/>
      <c r="X18" s="4"/>
      <c r="Y18" s="3" t="s">
        <v>108</v>
      </c>
      <c r="Z18" s="3">
        <v>-150</v>
      </c>
      <c r="AB18" s="4"/>
    </row>
    <row r="19" spans="3:28" x14ac:dyDescent="0.3">
      <c r="C19" s="4"/>
      <c r="I19" s="4"/>
      <c r="J19" s="3" t="s">
        <v>12</v>
      </c>
      <c r="L19" s="3">
        <v>300</v>
      </c>
      <c r="O19" s="3">
        <f t="shared" si="0"/>
        <v>300</v>
      </c>
      <c r="R19" s="4"/>
      <c r="U19" s="4"/>
      <c r="X19" s="4"/>
      <c r="Y19" s="3" t="s">
        <v>109</v>
      </c>
      <c r="Z19" s="3">
        <v>-77</v>
      </c>
      <c r="AB19" s="4"/>
    </row>
    <row r="20" spans="3:28" x14ac:dyDescent="0.3">
      <c r="C20" s="4"/>
      <c r="D20" s="3" t="s">
        <v>52</v>
      </c>
      <c r="H20" s="3">
        <v>2000</v>
      </c>
      <c r="I20" s="4"/>
      <c r="J20" s="3" t="s">
        <v>13</v>
      </c>
      <c r="K20" s="3">
        <v>200</v>
      </c>
      <c r="O20" s="3">
        <f t="shared" si="0"/>
        <v>200</v>
      </c>
      <c r="R20" s="4"/>
      <c r="U20" s="4"/>
      <c r="X20" s="4"/>
      <c r="AB20" s="4"/>
    </row>
    <row r="21" spans="3:28" x14ac:dyDescent="0.3">
      <c r="C21" s="4"/>
      <c r="D21" s="3" t="s">
        <v>63</v>
      </c>
      <c r="H21" s="3">
        <f>T2</f>
        <v>595</v>
      </c>
      <c r="I21" s="4"/>
      <c r="J21" s="14" t="s">
        <v>14</v>
      </c>
      <c r="K21" s="3">
        <v>150</v>
      </c>
      <c r="O21" s="3">
        <f t="shared" si="0"/>
        <v>150</v>
      </c>
      <c r="R21" s="4"/>
      <c r="U21" s="4"/>
      <c r="X21" s="4"/>
      <c r="Y21" s="3" t="s">
        <v>81</v>
      </c>
      <c r="AA21" s="15">
        <f>SUM(Z15:Z20)</f>
        <v>3118</v>
      </c>
      <c r="AB21" s="4"/>
    </row>
    <row r="22" spans="3:28" x14ac:dyDescent="0.3">
      <c r="C22" s="4"/>
      <c r="I22" s="4"/>
      <c r="J22" s="3" t="s">
        <v>15</v>
      </c>
      <c r="K22" s="3">
        <v>0</v>
      </c>
      <c r="O22" s="3">
        <f t="shared" si="0"/>
        <v>0</v>
      </c>
      <c r="R22" s="4"/>
      <c r="U22" s="4"/>
      <c r="X22" s="4"/>
      <c r="AB22" s="4"/>
    </row>
    <row r="23" spans="3:28" x14ac:dyDescent="0.3">
      <c r="C23" s="4"/>
      <c r="I23" s="4"/>
      <c r="J23" s="3" t="s">
        <v>16</v>
      </c>
      <c r="M23" s="3">
        <v>0</v>
      </c>
      <c r="O23" s="3">
        <f t="shared" si="0"/>
        <v>0</v>
      </c>
      <c r="R23" s="4"/>
      <c r="U23" s="4"/>
      <c r="X23" s="4"/>
      <c r="Y23" s="3" t="s">
        <v>82</v>
      </c>
      <c r="AA23" s="15">
        <f>L27</f>
        <v>820</v>
      </c>
      <c r="AB23" s="4"/>
    </row>
    <row r="24" spans="3:28" x14ac:dyDescent="0.3">
      <c r="C24" s="4"/>
      <c r="I24" s="4"/>
      <c r="J24" s="3" t="s">
        <v>148</v>
      </c>
      <c r="K24" s="3">
        <f>الأرصدة!AA2</f>
        <v>1258</v>
      </c>
      <c r="O24" s="3">
        <f t="shared" si="0"/>
        <v>1258</v>
      </c>
      <c r="R24" s="4"/>
      <c r="U24" s="4"/>
      <c r="X24" s="4"/>
      <c r="AB24" s="4"/>
    </row>
    <row r="25" spans="3:28" x14ac:dyDescent="0.3">
      <c r="C25" s="4"/>
      <c r="I25" s="4"/>
      <c r="R25" s="4"/>
      <c r="U25" s="4"/>
      <c r="X25" s="4"/>
      <c r="Y25" s="3" t="s">
        <v>92</v>
      </c>
      <c r="AA25" s="15">
        <v>2000</v>
      </c>
      <c r="AB25" s="4"/>
    </row>
    <row r="26" spans="3:28" x14ac:dyDescent="0.3">
      <c r="C26" s="3"/>
      <c r="I26" s="3"/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2345</v>
      </c>
      <c r="L27" s="3">
        <f>SUM(L7:L25)</f>
        <v>820</v>
      </c>
      <c r="M27" s="3">
        <f>SUM(M7:M25)</f>
        <v>824</v>
      </c>
      <c r="N27" s="3">
        <f>SUM(N7:N25)</f>
        <v>27</v>
      </c>
      <c r="R27" s="3"/>
      <c r="U27" s="3"/>
      <c r="X27" s="3"/>
      <c r="Y27" s="3" t="s">
        <v>93</v>
      </c>
      <c r="AA27" s="16">
        <f>T2</f>
        <v>595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94</v>
      </c>
      <c r="AA29" s="17">
        <f>M27</f>
        <v>824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111</v>
      </c>
      <c r="E31" s="3" t="s">
        <v>97</v>
      </c>
      <c r="I31" s="3"/>
      <c r="J31" s="3" t="s">
        <v>19</v>
      </c>
      <c r="O31" s="3" t="s">
        <v>58</v>
      </c>
      <c r="P31" s="3" t="s">
        <v>60</v>
      </c>
      <c r="Q31" s="3" t="s">
        <v>20</v>
      </c>
      <c r="R31" s="3"/>
      <c r="U31" s="3"/>
      <c r="X31" s="3"/>
      <c r="Y31" s="3" t="s">
        <v>96</v>
      </c>
      <c r="AA31" s="3">
        <f>W2</f>
        <v>9932</v>
      </c>
      <c r="AB31" s="3"/>
    </row>
    <row r="32" spans="3:28" x14ac:dyDescent="0.3">
      <c r="C32" s="3"/>
      <c r="D32">
        <v>20221</v>
      </c>
      <c r="E32" s="3" t="e">
        <f>D32+#REF!</f>
        <v>#REF!</v>
      </c>
      <c r="I32" s="3"/>
      <c r="J32" s="3">
        <f>الأرصدة!M29-'مصاريف الشهر'!D32</f>
        <v>6068</v>
      </c>
      <c r="O32" s="3">
        <f>E3</f>
        <v>2007</v>
      </c>
      <c r="P32" s="3">
        <f>F3</f>
        <v>5645</v>
      </c>
      <c r="Q32" s="3">
        <f>J32-SUM(O32:P32)</f>
        <v>-1584</v>
      </c>
      <c r="R32" s="3"/>
      <c r="U32" s="3"/>
      <c r="X32" s="3"/>
      <c r="AB32" s="3"/>
    </row>
    <row r="33" spans="3:28" x14ac:dyDescent="0.3">
      <c r="Y33" s="3" t="s">
        <v>99</v>
      </c>
    </row>
    <row r="34" spans="3:28" x14ac:dyDescent="0.3">
      <c r="Y34" s="3" t="s">
        <v>100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4"/>
      <c r="Z36" s="4"/>
      <c r="AA36" s="4"/>
    </row>
    <row r="37" spans="3:28" x14ac:dyDescent="0.3">
      <c r="Y37" s="14" t="s">
        <v>14</v>
      </c>
      <c r="Z37" s="3">
        <v>150</v>
      </c>
    </row>
    <row r="38" spans="3:28" x14ac:dyDescent="0.3">
      <c r="Y38" s="14" t="s">
        <v>11</v>
      </c>
      <c r="Z38" s="3">
        <v>77</v>
      </c>
    </row>
    <row r="39" spans="3:28" ht="46" x14ac:dyDescent="0.3">
      <c r="Y39" s="13" t="s">
        <v>110</v>
      </c>
      <c r="AA39" s="3">
        <f>SUM(Z37:Z38)</f>
        <v>227</v>
      </c>
    </row>
    <row r="40" spans="3:28" x14ac:dyDescent="0.3">
      <c r="Y40" s="13"/>
    </row>
    <row r="41" spans="3:28" x14ac:dyDescent="0.3">
      <c r="C41" s="3"/>
      <c r="I41" s="3"/>
      <c r="R41" s="3"/>
      <c r="U41" s="3"/>
      <c r="X41" s="3"/>
      <c r="Y41" s="3" t="s">
        <v>67</v>
      </c>
      <c r="Z41" s="3">
        <v>2000</v>
      </c>
      <c r="AB41" s="3"/>
    </row>
    <row r="42" spans="3:28" x14ac:dyDescent="0.3">
      <c r="C42" s="3"/>
      <c r="I42" s="3"/>
      <c r="R42" s="3"/>
      <c r="U42" s="3"/>
      <c r="X42" s="3"/>
      <c r="Y42" s="3" t="s">
        <v>20</v>
      </c>
      <c r="Z42" s="3">
        <f>G5</f>
        <v>-423</v>
      </c>
      <c r="AB42" s="3"/>
    </row>
    <row r="43" spans="3:28" x14ac:dyDescent="0.3">
      <c r="C43" s="3"/>
      <c r="I43" s="3"/>
      <c r="R43" s="3"/>
      <c r="U43" s="3"/>
      <c r="X43" s="3"/>
      <c r="Y43" s="3" t="s">
        <v>100</v>
      </c>
      <c r="Z43" s="3">
        <f>-Z17</f>
        <v>0</v>
      </c>
      <c r="AB43" s="3"/>
    </row>
    <row r="44" spans="3:28" x14ac:dyDescent="0.3">
      <c r="C44" s="3"/>
      <c r="I44" s="3"/>
      <c r="R44" s="3"/>
      <c r="U44" s="3"/>
      <c r="X44" s="3"/>
      <c r="Y44" s="3" t="s">
        <v>130</v>
      </c>
      <c r="Z44" s="3">
        <f>AA39</f>
        <v>227</v>
      </c>
      <c r="AB44" s="3"/>
    </row>
    <row r="45" spans="3:28" x14ac:dyDescent="0.3">
      <c r="Y45" s="3" t="s">
        <v>98</v>
      </c>
      <c r="AA45" s="3">
        <f>SUM(Z41:Z44)</f>
        <v>1804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J31"/>
  <sheetViews>
    <sheetView rightToLeft="1" topLeftCell="M1" workbookViewId="0">
      <selection activeCell="AA2" sqref="AA2"/>
    </sheetView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9.33203125" bestFit="1" customWidth="1"/>
    <col min="25" max="25" width="9.1640625" bestFit="1" customWidth="1"/>
    <col min="26" max="26" width="0.5" customWidth="1"/>
    <col min="27" max="27" width="11" bestFit="1" customWidth="1"/>
    <col min="28" max="28" width="20" bestFit="1" customWidth="1"/>
    <col min="29" max="29" width="8.33203125" bestFit="1" customWidth="1"/>
    <col min="30" max="30" width="8.1640625" bestFit="1" customWidth="1"/>
    <col min="31" max="32" width="7.33203125" bestFit="1" customWidth="1"/>
    <col min="33" max="33" width="0.5" customWidth="1"/>
  </cols>
  <sheetData>
    <row r="1" spans="1:33" ht="22" x14ac:dyDescent="0.3">
      <c r="A1" s="3" t="s">
        <v>49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132</v>
      </c>
      <c r="X1" s="3" t="s">
        <v>142</v>
      </c>
      <c r="Z1" s="4"/>
      <c r="AA1" s="3" t="s">
        <v>148</v>
      </c>
      <c r="AB1" s="3"/>
      <c r="AC1" s="3" t="s">
        <v>50</v>
      </c>
      <c r="AD1" s="3" t="s">
        <v>152</v>
      </c>
      <c r="AE1" s="3" t="s">
        <v>20</v>
      </c>
      <c r="AF1" s="3" t="s">
        <v>150</v>
      </c>
      <c r="AG1" s="4"/>
    </row>
    <row r="2" spans="1:33" ht="22" x14ac:dyDescent="0.3">
      <c r="A2" s="3" t="s">
        <v>50</v>
      </c>
      <c r="B2" s="2"/>
      <c r="C2" s="11">
        <f>SUM(D6:D19)</f>
        <v>10700</v>
      </c>
      <c r="D2" s="3"/>
      <c r="E2" s="4"/>
      <c r="F2" s="3">
        <f>SUM(G6:G19)</f>
        <v>0</v>
      </c>
      <c r="H2" s="4"/>
      <c r="I2" s="11">
        <f>SUM(J6:J11)</f>
        <v>6300</v>
      </c>
      <c r="K2" s="4"/>
      <c r="L2" s="11">
        <f>SUM(M6:M13)</f>
        <v>3008</v>
      </c>
      <c r="N2" s="4"/>
      <c r="O2" s="11">
        <f>SUM(Q6:Q20)</f>
        <v>63052</v>
      </c>
      <c r="P2" s="11"/>
      <c r="R2" s="4"/>
      <c r="S2" s="11">
        <f>SUM(U6:U19)</f>
        <v>33671</v>
      </c>
      <c r="T2" s="11"/>
      <c r="V2" s="2"/>
      <c r="W2" s="11">
        <f>SUM(Y6:Y20)</f>
        <v>6448</v>
      </c>
      <c r="X2" s="11">
        <f>1500+(303*3)</f>
        <v>2409</v>
      </c>
      <c r="Y2" s="11">
        <f>SUM(W2:X2)</f>
        <v>8857</v>
      </c>
      <c r="Z2" s="4"/>
      <c r="AA2" s="11">
        <f>SUM(AF6:AF20)</f>
        <v>1258</v>
      </c>
      <c r="AB2" s="11"/>
      <c r="AC2" s="3">
        <f>SUM(AC6:AC20)</f>
        <v>4729</v>
      </c>
      <c r="AD2" s="3">
        <f>SUM(AD6:AD20)</f>
        <v>1712</v>
      </c>
      <c r="AE2" s="3">
        <f>SUM(AE6:AE20)</f>
        <v>3017</v>
      </c>
      <c r="AF2" s="3">
        <f>SUM(AF6:AF20)</f>
        <v>1258</v>
      </c>
      <c r="AG2" s="4"/>
    </row>
    <row r="3" spans="1:33" ht="22" x14ac:dyDescent="0.3">
      <c r="A3" s="3" t="s">
        <v>47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4"/>
    </row>
    <row r="4" spans="1:33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4"/>
    </row>
    <row r="5" spans="1:33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151</v>
      </c>
      <c r="AB5" s="3" t="s">
        <v>149</v>
      </c>
      <c r="AC5" s="3"/>
      <c r="AD5" s="3"/>
      <c r="AE5" s="3"/>
      <c r="AF5" s="3"/>
      <c r="AG5" s="4"/>
    </row>
    <row r="6" spans="1:33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>
        <v>1</v>
      </c>
      <c r="T6" s="3" t="s">
        <v>38</v>
      </c>
      <c r="U6" s="11">
        <v>187</v>
      </c>
      <c r="V6" s="2"/>
      <c r="W6" s="3">
        <v>4</v>
      </c>
      <c r="X6" s="3" t="s">
        <v>135</v>
      </c>
      <c r="Y6" s="11">
        <v>200</v>
      </c>
      <c r="Z6" s="4"/>
      <c r="AA6" s="3">
        <v>3</v>
      </c>
      <c r="AB6" s="3" t="s">
        <v>153</v>
      </c>
      <c r="AC6" s="3">
        <v>902</v>
      </c>
      <c r="AD6" s="3">
        <v>601</v>
      </c>
      <c r="AE6" s="3">
        <f>AC6-AD6</f>
        <v>301</v>
      </c>
      <c r="AF6" s="11">
        <v>301</v>
      </c>
      <c r="AG6" s="4"/>
    </row>
    <row r="7" spans="1:33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71</v>
      </c>
      <c r="Q7" s="11">
        <v>864</v>
      </c>
      <c r="R7" s="4"/>
      <c r="S7">
        <v>1</v>
      </c>
      <c r="T7" s="3" t="s">
        <v>39</v>
      </c>
      <c r="U7" s="11">
        <v>1083</v>
      </c>
      <c r="V7" s="2"/>
      <c r="W7" s="3">
        <v>4</v>
      </c>
      <c r="X7" s="3" t="s">
        <v>136</v>
      </c>
      <c r="Y7" s="11">
        <v>500</v>
      </c>
      <c r="Z7" s="4"/>
      <c r="AA7" s="3">
        <v>4</v>
      </c>
      <c r="AB7" s="3" t="s">
        <v>154</v>
      </c>
      <c r="AC7" s="3">
        <v>1995</v>
      </c>
      <c r="AD7" s="3">
        <v>499</v>
      </c>
      <c r="AE7" s="3">
        <f>AC7-AD7</f>
        <v>1496</v>
      </c>
      <c r="AF7" s="3">
        <v>499</v>
      </c>
      <c r="AG7" s="4"/>
    </row>
    <row r="8" spans="1:33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133</v>
      </c>
      <c r="Q8" s="11">
        <v>17777</v>
      </c>
      <c r="R8" s="4"/>
      <c r="S8">
        <v>1</v>
      </c>
      <c r="T8" s="3" t="s">
        <v>40</v>
      </c>
      <c r="U8" s="11">
        <v>721</v>
      </c>
      <c r="V8" s="2"/>
      <c r="W8" s="3">
        <v>4</v>
      </c>
      <c r="X8" s="3" t="s">
        <v>137</v>
      </c>
      <c r="Y8" s="11">
        <v>303</v>
      </c>
      <c r="Z8" s="4"/>
      <c r="AA8" s="3">
        <v>4</v>
      </c>
      <c r="AB8" s="3" t="s">
        <v>112</v>
      </c>
      <c r="AC8" s="3">
        <v>616</v>
      </c>
      <c r="AD8" s="3">
        <v>308</v>
      </c>
      <c r="AE8" s="3">
        <f>AC8-AD8</f>
        <v>308</v>
      </c>
      <c r="AF8" s="11">
        <v>154</v>
      </c>
      <c r="AG8" s="4"/>
    </row>
    <row r="9" spans="1:33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1500</v>
      </c>
      <c r="K9" s="4"/>
      <c r="L9" s="3">
        <v>3</v>
      </c>
      <c r="M9" s="11">
        <v>-2440</v>
      </c>
      <c r="N9" s="4"/>
      <c r="O9" s="3">
        <v>2</v>
      </c>
      <c r="P9" s="3" t="s">
        <v>71</v>
      </c>
      <c r="Q9" s="11">
        <v>1676</v>
      </c>
      <c r="R9" s="4"/>
      <c r="S9">
        <v>1</v>
      </c>
      <c r="T9" s="3" t="s">
        <v>41</v>
      </c>
      <c r="U9" s="11">
        <v>4479</v>
      </c>
      <c r="V9" s="2"/>
      <c r="W9" s="3">
        <v>4</v>
      </c>
      <c r="X9" s="3" t="s">
        <v>138</v>
      </c>
      <c r="Y9" s="11">
        <v>750</v>
      </c>
      <c r="Z9" s="4"/>
      <c r="AA9" s="3">
        <v>4</v>
      </c>
      <c r="AB9" s="3" t="s">
        <v>155</v>
      </c>
      <c r="AC9" s="3">
        <v>1216</v>
      </c>
      <c r="AD9" s="3">
        <v>304</v>
      </c>
      <c r="AE9" s="3">
        <f>AC9-AD9</f>
        <v>912</v>
      </c>
      <c r="AF9" s="11">
        <v>304</v>
      </c>
      <c r="AG9" s="4"/>
    </row>
    <row r="10" spans="1:33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71</v>
      </c>
      <c r="Q10" s="11">
        <v>787</v>
      </c>
      <c r="R10" s="4"/>
      <c r="S10">
        <v>1</v>
      </c>
      <c r="T10" s="3" t="s">
        <v>43</v>
      </c>
      <c r="U10" s="11">
        <v>540</v>
      </c>
      <c r="V10" s="2"/>
      <c r="W10" s="3">
        <v>4</v>
      </c>
      <c r="X10" s="3" t="s">
        <v>139</v>
      </c>
      <c r="Y10" s="11">
        <v>188</v>
      </c>
      <c r="Z10" s="4"/>
      <c r="AA10" s="3"/>
      <c r="AB10" s="3"/>
      <c r="AC10" s="3"/>
      <c r="AD10" s="3"/>
      <c r="AE10" s="3"/>
      <c r="AF10" s="11"/>
      <c r="AG10" s="4"/>
    </row>
    <row r="11" spans="1:33" ht="22" x14ac:dyDescent="0.3">
      <c r="B11" s="2"/>
      <c r="C11" s="3">
        <v>4</v>
      </c>
      <c r="D11" s="11"/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134</v>
      </c>
      <c r="Q11" s="11">
        <v>2000</v>
      </c>
      <c r="R11" s="4"/>
      <c r="S11">
        <v>1</v>
      </c>
      <c r="T11" s="3" t="s">
        <v>42</v>
      </c>
      <c r="U11" s="11">
        <v>3162</v>
      </c>
      <c r="V11" s="2"/>
      <c r="W11" s="3">
        <v>4</v>
      </c>
      <c r="X11" s="3" t="s">
        <v>140</v>
      </c>
      <c r="Y11" s="11">
        <v>200</v>
      </c>
      <c r="Z11" s="4"/>
      <c r="AA11" s="3"/>
      <c r="AB11" s="3"/>
      <c r="AC11" s="3"/>
      <c r="AD11" s="3"/>
      <c r="AE11" s="3"/>
      <c r="AF11" s="11"/>
      <c r="AG11" s="4"/>
    </row>
    <row r="12" spans="1:33" ht="22" x14ac:dyDescent="0.3">
      <c r="B12" s="2"/>
      <c r="C12" s="3">
        <v>5</v>
      </c>
      <c r="D12" s="11"/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/>
      <c r="P12" s="3"/>
      <c r="Q12" s="11"/>
      <c r="R12" s="4"/>
      <c r="S12">
        <v>2</v>
      </c>
      <c r="T12" s="1" t="s">
        <v>104</v>
      </c>
      <c r="U12" s="11">
        <v>10000</v>
      </c>
      <c r="V12" s="2"/>
      <c r="W12" s="3">
        <v>4</v>
      </c>
      <c r="X12" s="3" t="s">
        <v>141</v>
      </c>
      <c r="Y12" s="11">
        <v>200</v>
      </c>
      <c r="Z12" s="4"/>
      <c r="AA12" s="3"/>
      <c r="AB12" s="3"/>
      <c r="AC12" s="3"/>
      <c r="AD12" s="3"/>
      <c r="AE12" s="3"/>
      <c r="AF12" s="11"/>
      <c r="AG12" s="4"/>
    </row>
    <row r="13" spans="1:33" ht="22" x14ac:dyDescent="0.3">
      <c r="B13" s="2"/>
      <c r="C13" s="3">
        <v>6</v>
      </c>
      <c r="D13" s="11"/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/>
      <c r="P13" s="3"/>
      <c r="Q13" s="11"/>
      <c r="R13" s="4"/>
      <c r="S13">
        <v>2</v>
      </c>
      <c r="T13" s="3" t="s">
        <v>102</v>
      </c>
      <c r="U13" s="11">
        <v>1000</v>
      </c>
      <c r="V13" s="2"/>
      <c r="W13" s="3">
        <v>4</v>
      </c>
      <c r="X13" s="3" t="s">
        <v>143</v>
      </c>
      <c r="Y13" s="11">
        <v>223</v>
      </c>
      <c r="Z13" s="4"/>
      <c r="AA13" s="3"/>
      <c r="AB13" s="3"/>
      <c r="AC13" s="3"/>
      <c r="AD13" s="3"/>
      <c r="AE13" s="3"/>
      <c r="AF13" s="11"/>
      <c r="AG13" s="4"/>
    </row>
    <row r="14" spans="1:33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O14" s="3"/>
      <c r="P14" s="3"/>
      <c r="Q14" s="11"/>
      <c r="R14" s="4"/>
      <c r="S14">
        <v>2</v>
      </c>
      <c r="T14" s="3" t="s">
        <v>105</v>
      </c>
      <c r="U14" s="11">
        <v>500</v>
      </c>
      <c r="V14" s="2"/>
      <c r="W14" s="3">
        <v>4</v>
      </c>
      <c r="X14" s="3" t="s">
        <v>144</v>
      </c>
      <c r="Y14" s="11">
        <v>1883</v>
      </c>
      <c r="Z14" s="4"/>
      <c r="AA14" s="3"/>
      <c r="AB14" s="3"/>
      <c r="AC14" s="3"/>
      <c r="AD14" s="3"/>
      <c r="AE14" s="3"/>
      <c r="AF14" s="11"/>
      <c r="AG14" s="4"/>
    </row>
    <row r="15" spans="1:33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126</v>
      </c>
      <c r="U15" s="3">
        <v>3701</v>
      </c>
      <c r="V15" s="2"/>
      <c r="W15" s="3">
        <v>4</v>
      </c>
      <c r="X15" s="3" t="s">
        <v>145</v>
      </c>
      <c r="Y15" s="11">
        <v>501</v>
      </c>
      <c r="Z15" s="4"/>
      <c r="AA15" s="3"/>
      <c r="AB15" s="3"/>
      <c r="AC15" s="3"/>
      <c r="AD15" s="3"/>
      <c r="AE15" s="3"/>
      <c r="AF15" s="11"/>
      <c r="AG15" s="4"/>
    </row>
    <row r="16" spans="1:33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113</v>
      </c>
      <c r="U16" s="3">
        <v>1000</v>
      </c>
      <c r="V16" s="2"/>
      <c r="W16" s="3">
        <v>4</v>
      </c>
      <c r="X16" s="3" t="s">
        <v>146</v>
      </c>
      <c r="Y16" s="11">
        <v>1500</v>
      </c>
      <c r="Z16" s="4"/>
      <c r="AA16" s="3"/>
      <c r="AB16" s="3"/>
      <c r="AC16" s="3"/>
      <c r="AD16" s="3"/>
      <c r="AE16" s="3"/>
      <c r="AF16" s="11"/>
      <c r="AG16" s="4"/>
    </row>
    <row r="17" spans="2:33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128</v>
      </c>
      <c r="U17" s="11">
        <v>850</v>
      </c>
      <c r="V17" s="2"/>
      <c r="W17" s="3">
        <v>4</v>
      </c>
      <c r="X17" s="3" t="s">
        <v>147</v>
      </c>
      <c r="Y17" s="11"/>
      <c r="Z17" s="4"/>
      <c r="AA17" s="3"/>
      <c r="AB17" s="3"/>
      <c r="AC17" s="3"/>
      <c r="AD17" s="3"/>
      <c r="AE17" s="3"/>
      <c r="AF17" s="11"/>
      <c r="AG17" s="4"/>
    </row>
    <row r="18" spans="2:33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20" t="str">
        <f>W1</f>
        <v>سفرة مصر</v>
      </c>
      <c r="U18" s="11">
        <f>W2</f>
        <v>6448</v>
      </c>
      <c r="V18" s="2"/>
      <c r="W18" s="3"/>
      <c r="X18" s="3"/>
      <c r="Y18" s="11"/>
      <c r="Z18" s="4"/>
      <c r="AA18" s="3"/>
      <c r="AB18" s="3"/>
      <c r="AC18" s="3"/>
      <c r="AD18" s="3"/>
      <c r="AE18" s="3"/>
      <c r="AF18" s="11"/>
      <c r="AG18" s="4"/>
    </row>
    <row r="19" spans="2:33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/>
      <c r="T19" s="3"/>
      <c r="U19" s="11"/>
      <c r="V19" s="2"/>
      <c r="W19" s="3"/>
      <c r="X19" s="3"/>
      <c r="Y19" s="3"/>
      <c r="Z19" s="4"/>
      <c r="AA19" s="3"/>
      <c r="AB19" s="3"/>
      <c r="AC19" s="3"/>
      <c r="AD19" s="3"/>
      <c r="AE19" s="3"/>
      <c r="AF19" s="3"/>
      <c r="AG19" s="4"/>
    </row>
    <row r="20" spans="2:33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/>
      <c r="T20" s="3"/>
      <c r="U20" s="11"/>
      <c r="V20" s="2"/>
      <c r="W20" s="3"/>
      <c r="X20" s="3"/>
      <c r="Y20" s="3"/>
      <c r="Z20" s="4"/>
      <c r="AA20" s="3"/>
      <c r="AB20" s="3"/>
      <c r="AC20" s="3"/>
      <c r="AD20" s="3"/>
      <c r="AE20" s="3"/>
      <c r="AF20" s="3"/>
      <c r="AG20" s="4"/>
    </row>
    <row r="21" spans="2:33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2:33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33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29381</v>
      </c>
      <c r="N23" s="4"/>
      <c r="O23" s="3"/>
      <c r="P23" s="3"/>
      <c r="Q23" s="3"/>
      <c r="R23" s="3"/>
      <c r="S23" s="3"/>
      <c r="T23" s="3"/>
      <c r="U23" s="3"/>
    </row>
    <row r="24" spans="2:33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10700</v>
      </c>
      <c r="N24" s="4"/>
      <c r="O24" s="3"/>
      <c r="P24" s="3"/>
      <c r="Q24" s="3"/>
      <c r="R24" s="3"/>
      <c r="S24" s="3"/>
      <c r="T24" s="3"/>
      <c r="U24" s="3"/>
    </row>
    <row r="25" spans="2:33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</row>
    <row r="26" spans="2:33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-6300</v>
      </c>
      <c r="N26" s="4"/>
      <c r="O26" s="3"/>
      <c r="P26" s="3"/>
      <c r="Q26" s="3"/>
      <c r="R26" s="3"/>
      <c r="S26" s="3"/>
      <c r="T26" s="3"/>
      <c r="U26" s="3"/>
      <c r="Y26" t="s">
        <v>101</v>
      </c>
    </row>
    <row r="27" spans="2:33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131</v>
      </c>
      <c r="M27" s="6">
        <v>-10500</v>
      </c>
      <c r="N27" s="4"/>
      <c r="O27" s="3"/>
      <c r="P27" s="3"/>
      <c r="Q27" s="3"/>
      <c r="R27" s="3"/>
      <c r="S27" s="3"/>
      <c r="T27" s="3"/>
      <c r="U27" s="3"/>
      <c r="W27">
        <v>35266</v>
      </c>
      <c r="Y27" s="12">
        <f>M29-W27</f>
        <v>-8977</v>
      </c>
    </row>
    <row r="28" spans="2:33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3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26289</v>
      </c>
      <c r="N29" s="4"/>
      <c r="O29" s="3"/>
      <c r="P29" s="3"/>
      <c r="Q29" s="3"/>
      <c r="R29" s="3"/>
      <c r="S29" s="3"/>
      <c r="T29" s="3"/>
      <c r="U29" s="3"/>
    </row>
    <row r="30" spans="2:33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  <c r="U30" s="3"/>
    </row>
    <row r="31" spans="2:33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2026-04-11T10:21:33Z</dcterms:modified>
</cp:coreProperties>
</file>