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BDD0A413-14A3-8A44-88B9-5A1099640035}" xr6:coauthVersionLast="47" xr6:coauthVersionMax="47" xr10:uidLastSave="{00000000-0000-0000-0000-000000000000}"/>
  <bookViews>
    <workbookView xWindow="0" yWindow="660" windowWidth="30240" windowHeight="1778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K27" i="1"/>
  <c r="O26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25" i="1"/>
  <c r="F3" i="1"/>
  <c r="O7" i="1" l="1"/>
  <c r="AA45" i="1"/>
  <c r="E3" i="1"/>
  <c r="F4" i="1"/>
  <c r="O32" i="1" l="1"/>
  <c r="Z36" i="2"/>
  <c r="AA41" i="1"/>
  <c r="A3" i="1"/>
  <c r="N27" i="1"/>
  <c r="AD2" i="1"/>
  <c r="Z15" i="1"/>
  <c r="AA21" i="1" s="1"/>
  <c r="L27" i="1"/>
  <c r="AA23" i="1" s="1"/>
  <c r="AA9" i="1"/>
  <c r="E4" i="1"/>
  <c r="G3" i="1"/>
  <c r="T2" i="1"/>
  <c r="W7" i="1"/>
  <c r="W8" i="1"/>
  <c r="H21" i="1" l="1"/>
  <c r="H3" i="1" s="1"/>
  <c r="AA27" i="1"/>
  <c r="AD3" i="1"/>
  <c r="F5" i="1"/>
  <c r="H4" i="1" s="1"/>
  <c r="P32" i="1"/>
  <c r="I2" i="2"/>
  <c r="M26" i="2" s="1"/>
  <c r="L2" i="2"/>
  <c r="M25" i="2" s="1"/>
  <c r="F2" i="2"/>
  <c r="M28" i="2" s="1"/>
  <c r="C2" i="2"/>
  <c r="M24" i="2" s="1"/>
  <c r="O2" i="2"/>
  <c r="O8" i="1"/>
  <c r="M7" i="1"/>
  <c r="M8" i="1" l="1"/>
  <c r="O2" i="1"/>
  <c r="E5" i="1" s="1"/>
  <c r="G4" i="1" s="1"/>
  <c r="G5" i="1" s="1"/>
  <c r="Z34" i="1" s="1"/>
  <c r="AA37" i="1" s="1"/>
  <c r="H5" i="1"/>
  <c r="W9" i="1" s="1"/>
  <c r="M27" i="1"/>
  <c r="AA29" i="1" s="1"/>
  <c r="M23" i="2"/>
  <c r="M29" i="2" s="1"/>
  <c r="W27" i="2" s="1"/>
  <c r="J32" i="1" l="1"/>
  <c r="Q32" i="1" l="1"/>
  <c r="W12" i="1"/>
  <c r="W2" i="1" s="1"/>
  <c r="AA31" i="1" s="1"/>
  <c r="AA2" i="1" s="1"/>
  <c r="E32" i="1" l="1"/>
</calcChain>
</file>

<file path=xl/sharedStrings.xml><?xml version="1.0" encoding="utf-8"?>
<sst xmlns="http://schemas.openxmlformats.org/spreadsheetml/2006/main" count="168" uniqueCount="130">
  <si>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</si>
  <si>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</si>
  <si>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</si>
  <si>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</si>
  <si>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</si>
  <si>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</si>
  <si>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</si>
  <si>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</si>
  <si>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</si>
  <si>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</si>
  <si>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</si>
  <si>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</si>
  <si>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</si>
  <si>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</si>
  <si>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</si>
  <si>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</si>
  <si>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</si>
  <si>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</si>
  <si>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</si>
  <si>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</si>
  <si>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</si>
  <si>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</si>
  <si>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</si>
  <si>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</si>
  <si>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</si>
  <si>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</si>
  <si>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</si>
  <si>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</si>
  <si>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</si>
  <si>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</si>
  <si>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</si>
  <si>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</si>
  <si>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</si>
  <si>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</si>
  <si>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</si>
  <si>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</si>
  <si>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</si>
  <si>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كاش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</si>
  <si>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</si>
  <si>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</si>
  <si>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</si>
  <si>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</si>
  <si>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</si>
  <si>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</si>
  <si>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</si>
  <si>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مصروف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</si>
  <si>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</si>
  <si>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</si>
  <si>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</si>
  <si>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</si>
  <si>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</si>
  <si>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</si>
  <si>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</si>
  <si>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</si>
  <si>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</si>
  <si>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</si>
  <si>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الماك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</si>
  <si>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</si>
  <si>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</si>
  <si>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</si>
  <si>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</si>
  <si>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</si>
  <si>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</si>
  <si>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</si>
  <si>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</si>
  <si>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</si>
  <si>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</si>
  <si>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</si>
  <si>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</si>
  <si>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</si>
  <si>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</si>
  <si>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</si>
  <si>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</si>
  <si>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</si>
  <si>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</si>
  <si>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</si>
  <si>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</si>
  <si>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</si>
  <si>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</si>
  <si>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</si>
  <si>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</si>
  <si>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</si>
  <si>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</si>
  <si>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</si>
  <si>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تابي جاذر ان</t>
  </si>
  <si>
    <t>التحويل من تكمو</t>
  </si>
  <si>
    <t>stc pay</t>
  </si>
  <si>
    <t>stc app</t>
  </si>
  <si>
    <t>tabby</t>
  </si>
  <si>
    <t>mona techmo</t>
  </si>
  <si>
    <t>digital ocean</t>
  </si>
  <si>
    <t>month 1st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</si>
  <si>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</si>
  <si>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</si>
  <si>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</si>
  <si>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</si>
  <si>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</si>
  <si>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</si>
  <si>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</si>
  <si>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</si>
  <si>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</si>
  <si>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</si>
  <si>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</si>
  <si>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</si>
  <si>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ثياب</t>
  </si>
  <si>
    <t>عملية القسطرة لأبوي</t>
  </si>
  <si>
    <t>تصليح السيارة</t>
  </si>
  <si>
    <t>علاج إرشاد</t>
  </si>
  <si>
    <t>الراجحي</t>
  </si>
  <si>
    <t>تأخير جيم ناشن</t>
  </si>
  <si>
    <t>تأخير شات جبت</t>
  </si>
  <si>
    <t>إجمالي التحويل المتأخر لتكمو</t>
  </si>
  <si>
    <t>الرصيد الحالي بتاريخ ٢١ فبراير</t>
  </si>
  <si>
    <t>شاشة الكامري</t>
  </si>
  <si>
    <t>تصليح الكامري</t>
  </si>
  <si>
    <t>تصليح الماك</t>
  </si>
  <si>
    <t>حلاقة ومصاريف عيد</t>
  </si>
  <si>
    <t>صدقات</t>
  </si>
  <si>
    <t>طلعة هشام</t>
  </si>
  <si>
    <t>عطر وسحور</t>
  </si>
  <si>
    <t>عيدية منى</t>
  </si>
  <si>
    <t>غدا العيد</t>
  </si>
  <si>
    <t>قسط كنبة</t>
  </si>
  <si>
    <t>ملابس صيف</t>
  </si>
  <si>
    <t>ألعاب أطفال للعيد</t>
  </si>
  <si>
    <t>شغالة باليوم</t>
  </si>
  <si>
    <t>تجديد جواز منى</t>
  </si>
  <si>
    <t>قسط الجامعة 2- الفصل 1</t>
  </si>
  <si>
    <t>كنبة</t>
  </si>
  <si>
    <t>كفر الأودي الأمامي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</si>
</sst>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0" fontId="3" fillId="3" borderId="0" xfId="0" applyFont="1" applyFill="1"/>
    <xf numFmtId="0" fontId="3" fillId="4" borderId="0" xfId="0" applyFont="1" applyFill="1"/>
    <xf numFmtId="165" fontId="3" fillId="0" borderId="0" xfId="0" applyNumberFormat="1" applyFont="1"/>
    <xf numFmtId="0" fontId="4" fillId="4" borderId="0" xfId="0" applyFont="1" applyFill="1" applyAlignment="1">
      <alignment readingOrder="1"/>
    </xf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5" borderId="0" xfId="0" applyFont="1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5"/>
  <sheetViews>
    <sheetView rightToLeft="1" tabSelected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4.1640625" style="3" bestFit="1" customWidth="1"/>
    <col min="23" max="23" width="7.83203125" style="3" bestFit="1" customWidth="1"/>
    <col min="24" max="24" width="0.6640625" customWidth="1"/>
    <col min="25" max="25" width="23.6640625" style="3" bestFit="1" customWidth="1"/>
    <col min="26" max="26" width="11.83203125" style="3" customWidth="1"/>
    <col min="27" max="27" width="15.1640625" style="3" customWidth="1"/>
    <col min="28" max="28" width="0.6640625" customWidth="1"/>
    <col min="29" max="29" width="17" style="3" bestFit="1" customWidth="1"/>
    <col min="30" max="30" width="9.1640625" style="3" bestFit="1" customWidth="1"/>
    <col min="31" max="31" width="16.33203125" style="3" bestFit="1" customWidth="1"/>
    <col min="32" max="16384" width="10.83203125" style="3"/>
  </cols>
  <sheetData>
    <row r="1" spans="1:32" x14ac:dyDescent="0.3">
      <c r="A1" s="3" t="s">
        <v>52</v>
      </c>
      <c r="C1" s="4"/>
      <c r="D1" s="3" t="s">
        <v>18</v>
      </c>
      <c r="E1" s="19" t="s">
        <v>74</v>
      </c>
      <c r="F1" s="19"/>
      <c r="G1" s="19" t="s">
        <v>73</v>
      </c>
      <c r="H1" s="19"/>
      <c r="I1" s="4"/>
      <c r="J1" s="3" t="s">
        <v>17</v>
      </c>
      <c r="R1" s="4"/>
      <c r="S1" s="3" t="s">
        <v>64</v>
      </c>
      <c r="U1" s="4"/>
      <c r="V1" s="3" t="s">
        <v>46</v>
      </c>
      <c r="X1" s="4"/>
      <c r="Y1" s="3" t="s">
        <v>96</v>
      </c>
      <c r="AB1" s="4"/>
      <c r="AC1" s="3" t="s">
        <v>85</v>
      </c>
    </row>
    <row r="2" spans="1:32" x14ac:dyDescent="0.3">
      <c r="A2" s="3">
        <v>26977</v>
      </c>
      <c r="C2" s="4"/>
      <c r="E2" s="3" t="s">
        <v>62</v>
      </c>
      <c r="F2" s="3" t="s">
        <v>61</v>
      </c>
      <c r="G2" s="3" t="s">
        <v>62</v>
      </c>
      <c r="H2" s="3" t="s">
        <v>61</v>
      </c>
      <c r="I2" s="4"/>
      <c r="J2" s="3" t="s">
        <v>2</v>
      </c>
      <c r="O2" s="3">
        <f>SUM(O7:O26)</f>
        <v>3974</v>
      </c>
      <c r="R2" s="4"/>
      <c r="S2" s="3" t="s">
        <v>2</v>
      </c>
      <c r="T2" s="3">
        <f>SUM(T7:T16)</f>
        <v>595</v>
      </c>
      <c r="U2" s="4"/>
      <c r="V2" s="3" t="s">
        <v>2</v>
      </c>
      <c r="W2" s="3">
        <f>SUM(W7:W16)</f>
        <v>12795</v>
      </c>
      <c r="X2" s="4"/>
      <c r="Y2" s="3" t="s">
        <v>2</v>
      </c>
      <c r="AA2" s="3">
        <f>SUM(AA7:AB41)</f>
        <v>27780</v>
      </c>
      <c r="AB2" s="4"/>
      <c r="AC2" s="3" t="s">
        <v>2</v>
      </c>
      <c r="AD2" s="3">
        <f>SUM(AD7:AD21)</f>
        <v>2537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SUM(E7:E25)</f>
        <v>1500</v>
      </c>
      <c r="F3" s="3">
        <f>SUM(F7:F28)</f>
        <v>6152</v>
      </c>
      <c r="G3" s="3">
        <f>SUM(G7:G25)</f>
        <v>0</v>
      </c>
      <c r="H3" s="3">
        <f>SUM(H7:H25)</f>
        <v>2595</v>
      </c>
      <c r="I3" s="4"/>
      <c r="R3" s="4"/>
      <c r="S3" s="5"/>
      <c r="U3" s="4"/>
      <c r="X3" s="4"/>
      <c r="AB3" s="4"/>
      <c r="AC3" s="3" t="s">
        <v>20</v>
      </c>
      <c r="AD3" s="3">
        <f>AA21-AD2</f>
        <v>428</v>
      </c>
    </row>
    <row r="4" spans="1:32" x14ac:dyDescent="0.3">
      <c r="C4" s="4"/>
      <c r="D4" s="3" t="s">
        <v>63</v>
      </c>
      <c r="E4" s="3">
        <f>B11</f>
        <v>5600</v>
      </c>
      <c r="F4" s="3">
        <f>B15</f>
        <v>9027</v>
      </c>
      <c r="G4" s="3">
        <f>E5</f>
        <v>126</v>
      </c>
      <c r="H4" s="3">
        <f>F5</f>
        <v>2875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126</v>
      </c>
      <c r="F5" s="3">
        <f>F4-F3</f>
        <v>2875</v>
      </c>
      <c r="G5" s="3">
        <f>G4-G3</f>
        <v>126</v>
      </c>
      <c r="H5" s="3">
        <f>H4-H3</f>
        <v>280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77</v>
      </c>
      <c r="L6" s="8" t="s">
        <v>78</v>
      </c>
      <c r="M6" s="8" t="s">
        <v>108</v>
      </c>
      <c r="N6" s="8" t="s">
        <v>60</v>
      </c>
      <c r="O6" s="8" t="s">
        <v>2</v>
      </c>
      <c r="P6" s="18" t="s">
        <v>57</v>
      </c>
      <c r="Q6" s="18"/>
      <c r="R6" s="9"/>
      <c r="U6" s="9"/>
      <c r="X6" s="9"/>
      <c r="AB6" s="9"/>
    </row>
    <row r="7" spans="1:32" x14ac:dyDescent="0.3">
      <c r="A7" s="1" t="s">
        <v>65</v>
      </c>
      <c r="B7" s="3">
        <v>800</v>
      </c>
      <c r="C7" s="4"/>
      <c r="D7" s="3" t="s">
        <v>115</v>
      </c>
      <c r="F7" s="3">
        <v>1600</v>
      </c>
      <c r="I7" s="4"/>
      <c r="J7" s="3" t="s">
        <v>0</v>
      </c>
      <c r="M7" s="3">
        <f>SUM(N7:O7)</f>
        <v>470</v>
      </c>
      <c r="O7" s="3">
        <f>SUM(P7:Q7)</f>
        <v>470</v>
      </c>
      <c r="P7" s="3">
        <v>336</v>
      </c>
      <c r="Q7" s="3">
        <v>134</v>
      </c>
      <c r="R7" s="4"/>
      <c r="S7" s="3" t="s">
        <v>124</v>
      </c>
      <c r="T7" s="3">
        <v>64</v>
      </c>
      <c r="U7" s="4"/>
      <c r="V7" s="3" t="s">
        <v>47</v>
      </c>
      <c r="W7" s="3">
        <f>B13</f>
        <v>3050</v>
      </c>
      <c r="X7" s="4"/>
      <c r="Y7" s="1" t="s">
        <v>65</v>
      </c>
      <c r="Z7" s="3">
        <v>800</v>
      </c>
      <c r="AB7" s="4"/>
      <c r="AC7" s="3" t="s">
        <v>81</v>
      </c>
      <c r="AD7" s="11">
        <v>1580</v>
      </c>
      <c r="AE7" s="3" t="s">
        <v>89</v>
      </c>
      <c r="AF7" s="12"/>
    </row>
    <row r="8" spans="1:32" x14ac:dyDescent="0.3">
      <c r="A8" s="1" t="s">
        <v>66</v>
      </c>
      <c r="B8" s="3">
        <v>3000</v>
      </c>
      <c r="C8" s="4"/>
      <c r="D8" s="3" t="s">
        <v>104</v>
      </c>
      <c r="F8" s="3">
        <v>531</v>
      </c>
      <c r="I8" s="4"/>
      <c r="J8" s="3" t="s">
        <v>1</v>
      </c>
      <c r="M8" s="3">
        <f>O8</f>
        <v>575</v>
      </c>
      <c r="O8" s="3">
        <f>SUM(P8:Q8)</f>
        <v>575</v>
      </c>
      <c r="P8" s="3">
        <v>287.5</v>
      </c>
      <c r="Q8" s="3">
        <v>287.5</v>
      </c>
      <c r="R8" s="4"/>
      <c r="S8" s="3" t="s">
        <v>125</v>
      </c>
      <c r="T8" s="3">
        <v>101</v>
      </c>
      <c r="U8" s="4"/>
      <c r="V8" s="3" t="s">
        <v>49</v>
      </c>
      <c r="W8" s="3">
        <f>الأرصدة!L3</f>
        <v>0</v>
      </c>
      <c r="X8" s="4"/>
      <c r="Y8" s="1" t="s">
        <v>67</v>
      </c>
      <c r="AB8" s="4"/>
      <c r="AC8" s="3" t="s">
        <v>84</v>
      </c>
      <c r="AD8" s="11">
        <v>450</v>
      </c>
      <c r="AE8" s="3" t="s">
        <v>88</v>
      </c>
    </row>
    <row r="9" spans="1:32" x14ac:dyDescent="0.3">
      <c r="A9" s="1" t="s">
        <v>67</v>
      </c>
      <c r="B9" s="3">
        <v>1500</v>
      </c>
      <c r="C9" s="4"/>
      <c r="D9" s="3" t="s">
        <v>116</v>
      </c>
      <c r="E9" s="3">
        <v>300</v>
      </c>
      <c r="I9" s="4"/>
      <c r="J9" s="3" t="s">
        <v>3</v>
      </c>
      <c r="K9" s="3">
        <v>80</v>
      </c>
      <c r="M9" s="3">
        <v>115</v>
      </c>
      <c r="O9" s="3">
        <f t="shared" ref="O9:O24" si="0">SUM(K9:N9)</f>
        <v>195</v>
      </c>
      <c r="R9" s="4"/>
      <c r="S9" s="3" t="s">
        <v>126</v>
      </c>
      <c r="T9" s="3">
        <v>430</v>
      </c>
      <c r="U9" s="4"/>
      <c r="V9" s="3" t="s">
        <v>54</v>
      </c>
      <c r="W9" s="3">
        <f>H5</f>
        <v>280</v>
      </c>
      <c r="X9" s="4"/>
      <c r="Y9" s="3" t="s">
        <v>75</v>
      </c>
      <c r="AA9" s="11">
        <f>SUM(Z7:Z8)</f>
        <v>800</v>
      </c>
      <c r="AB9" s="4"/>
      <c r="AC9" s="3" t="s">
        <v>3</v>
      </c>
      <c r="AD9" s="11">
        <v>80</v>
      </c>
      <c r="AE9" s="3" t="s">
        <v>87</v>
      </c>
    </row>
    <row r="10" spans="1:32" x14ac:dyDescent="0.3">
      <c r="A10" s="1" t="s">
        <v>68</v>
      </c>
      <c r="B10" s="3">
        <v>2000</v>
      </c>
      <c r="C10" s="4"/>
      <c r="D10" s="3" t="s">
        <v>117</v>
      </c>
      <c r="F10" s="3">
        <v>1800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55</v>
      </c>
      <c r="W10" s="3">
        <v>1500</v>
      </c>
      <c r="X10" s="4"/>
      <c r="AB10" s="4"/>
      <c r="AC10" s="3" t="s">
        <v>5</v>
      </c>
      <c r="AD10" s="11">
        <v>80</v>
      </c>
      <c r="AE10" s="3" t="s">
        <v>86</v>
      </c>
    </row>
    <row r="11" spans="1:32" x14ac:dyDescent="0.3">
      <c r="A11" s="1" t="s">
        <v>69</v>
      </c>
      <c r="B11" s="3">
        <v>5600</v>
      </c>
      <c r="C11" s="4"/>
      <c r="D11" s="3" t="s">
        <v>118</v>
      </c>
      <c r="F11" s="3">
        <v>300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56</v>
      </c>
      <c r="W11" s="3">
        <v>313</v>
      </c>
      <c r="X11" s="4"/>
      <c r="Y11" s="1" t="s">
        <v>66</v>
      </c>
      <c r="AA11" s="11">
        <v>3000</v>
      </c>
      <c r="AB11" s="4"/>
      <c r="AC11" s="3" t="s">
        <v>76</v>
      </c>
      <c r="AD11" s="11">
        <v>120</v>
      </c>
      <c r="AE11" s="3" t="s">
        <v>90</v>
      </c>
    </row>
    <row r="12" spans="1:32" x14ac:dyDescent="0.3">
      <c r="A12" s="1" t="s">
        <v>70</v>
      </c>
      <c r="B12" s="3">
        <v>1000</v>
      </c>
      <c r="C12" s="4"/>
      <c r="D12" s="3" t="s">
        <v>119</v>
      </c>
      <c r="F12" s="3">
        <v>276</v>
      </c>
      <c r="I12" s="4"/>
      <c r="J12" s="3" t="s">
        <v>76</v>
      </c>
      <c r="K12" s="3">
        <v>120</v>
      </c>
      <c r="O12" s="3">
        <f t="shared" si="0"/>
        <v>120</v>
      </c>
      <c r="R12" s="4"/>
      <c r="U12" s="4"/>
      <c r="V12" s="3" t="s">
        <v>58</v>
      </c>
      <c r="W12" s="3">
        <f>J32</f>
        <v>7652</v>
      </c>
      <c r="X12" s="4"/>
      <c r="AB12" s="4"/>
      <c r="AC12" s="3" t="s">
        <v>11</v>
      </c>
      <c r="AD12" s="3">
        <v>77</v>
      </c>
      <c r="AE12" s="3" t="s">
        <v>91</v>
      </c>
    </row>
    <row r="13" spans="1:32" x14ac:dyDescent="0.3">
      <c r="A13" s="1" t="s">
        <v>24</v>
      </c>
      <c r="B13" s="3">
        <v>3050</v>
      </c>
      <c r="C13" s="4"/>
      <c r="D13" s="3" t="s">
        <v>107</v>
      </c>
      <c r="F13" s="3">
        <v>345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71</v>
      </c>
      <c r="AA13" s="11">
        <v>1000</v>
      </c>
      <c r="AB13" s="4"/>
      <c r="AC13" s="3" t="s">
        <v>14</v>
      </c>
      <c r="AD13" s="3">
        <v>150</v>
      </c>
      <c r="AE13" s="3" t="s">
        <v>92</v>
      </c>
    </row>
    <row r="14" spans="1:32" x14ac:dyDescent="0.3">
      <c r="A14" s="1" t="s">
        <v>71</v>
      </c>
      <c r="B14" s="3">
        <v>1000</v>
      </c>
      <c r="C14" s="4"/>
      <c r="D14" s="3" t="s">
        <v>120</v>
      </c>
      <c r="F14" s="3">
        <v>300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  <c r="AC14" s="1"/>
    </row>
    <row r="15" spans="1:32" x14ac:dyDescent="0.3">
      <c r="A15" s="1" t="s">
        <v>72</v>
      </c>
      <c r="B15" s="3">
        <v>9027</v>
      </c>
      <c r="C15" s="4"/>
      <c r="D15" s="3" t="s">
        <v>121</v>
      </c>
      <c r="F15" s="3">
        <v>300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79</v>
      </c>
      <c r="Z15" s="3">
        <f>K27</f>
        <v>1892</v>
      </c>
      <c r="AB15" s="4"/>
    </row>
    <row r="16" spans="1:32" x14ac:dyDescent="0.3">
      <c r="C16" s="4"/>
      <c r="D16" s="3" t="s">
        <v>122</v>
      </c>
      <c r="F16" s="3">
        <v>350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80</v>
      </c>
      <c r="Z16" s="3">
        <v>1000</v>
      </c>
      <c r="AB16" s="4"/>
    </row>
    <row r="17" spans="3:28" x14ac:dyDescent="0.3">
      <c r="C17" s="4"/>
      <c r="D17" s="3" t="s">
        <v>45</v>
      </c>
      <c r="E17" s="3">
        <v>1200</v>
      </c>
      <c r="I17" s="4"/>
      <c r="J17" s="3" t="s">
        <v>10</v>
      </c>
      <c r="N17" s="3">
        <v>27</v>
      </c>
      <c r="O17" s="3">
        <f t="shared" si="0"/>
        <v>27</v>
      </c>
      <c r="R17" s="4"/>
      <c r="U17" s="4"/>
      <c r="X17" s="4"/>
      <c r="Y17" s="3" t="s">
        <v>68</v>
      </c>
      <c r="Z17" s="3">
        <v>300</v>
      </c>
      <c r="AB17" s="4"/>
    </row>
    <row r="18" spans="3:28" x14ac:dyDescent="0.3">
      <c r="C18" s="4"/>
      <c r="D18" s="3" t="s">
        <v>123</v>
      </c>
      <c r="F18" s="3">
        <v>350</v>
      </c>
      <c r="I18" s="4"/>
      <c r="J18" s="17" t="s">
        <v>11</v>
      </c>
      <c r="K18" s="3">
        <v>77</v>
      </c>
      <c r="O18" s="3">
        <f t="shared" si="0"/>
        <v>77</v>
      </c>
      <c r="R18" s="4"/>
      <c r="U18" s="4"/>
      <c r="X18" s="4"/>
      <c r="Y18" s="3" t="s">
        <v>109</v>
      </c>
      <c r="Z18" s="3">
        <v>-150</v>
      </c>
      <c r="AB18" s="4"/>
    </row>
    <row r="19" spans="3:28" x14ac:dyDescent="0.3">
      <c r="C19" s="4"/>
      <c r="I19" s="4"/>
      <c r="J19" s="3" t="s">
        <v>12</v>
      </c>
      <c r="L19" s="3">
        <v>300</v>
      </c>
      <c r="O19" s="3">
        <f t="shared" si="0"/>
        <v>300</v>
      </c>
      <c r="R19" s="4"/>
      <c r="U19" s="4"/>
      <c r="X19" s="4"/>
      <c r="Y19" s="3" t="s">
        <v>110</v>
      </c>
      <c r="Z19" s="3">
        <v>-77</v>
      </c>
      <c r="AB19" s="4"/>
    </row>
    <row r="20" spans="3:28" x14ac:dyDescent="0.3">
      <c r="C20" s="4"/>
      <c r="D20" s="3" t="s">
        <v>53</v>
      </c>
      <c r="H20" s="3">
        <v>2000</v>
      </c>
      <c r="I20" s="4"/>
      <c r="J20" s="3" t="s">
        <v>13</v>
      </c>
      <c r="K20" s="3">
        <v>200</v>
      </c>
      <c r="O20" s="3">
        <f t="shared" si="0"/>
        <v>200</v>
      </c>
      <c r="R20" s="4"/>
      <c r="U20" s="4"/>
      <c r="X20" s="4"/>
      <c r="AB20" s="4"/>
    </row>
    <row r="21" spans="3:28" x14ac:dyDescent="0.3">
      <c r="C21" s="4"/>
      <c r="D21" s="3" t="s">
        <v>64</v>
      </c>
      <c r="H21" s="3">
        <f>T2</f>
        <v>595</v>
      </c>
      <c r="I21" s="4"/>
      <c r="J21" s="17" t="s">
        <v>14</v>
      </c>
      <c r="K21" s="3">
        <v>150</v>
      </c>
      <c r="O21" s="3">
        <f t="shared" si="0"/>
        <v>150</v>
      </c>
      <c r="R21" s="4"/>
      <c r="U21" s="4"/>
      <c r="X21" s="4"/>
      <c r="Y21" s="3" t="s">
        <v>82</v>
      </c>
      <c r="AA21" s="11">
        <f>SUM(Z15:Z20)</f>
        <v>2965</v>
      </c>
      <c r="AB21" s="4"/>
    </row>
    <row r="22" spans="3:28" x14ac:dyDescent="0.3">
      <c r="C22" s="4"/>
      <c r="I22" s="4"/>
      <c r="J22" s="3" t="s">
        <v>15</v>
      </c>
      <c r="K22" s="3">
        <v>0</v>
      </c>
      <c r="O22" s="3">
        <f t="shared" si="0"/>
        <v>0</v>
      </c>
      <c r="R22" s="4"/>
      <c r="U22" s="4"/>
      <c r="X22" s="4"/>
      <c r="AB22" s="4"/>
    </row>
    <row r="23" spans="3:28" x14ac:dyDescent="0.3">
      <c r="C23" s="4"/>
      <c r="I23" s="4"/>
      <c r="J23" s="3" t="s">
        <v>16</v>
      </c>
      <c r="M23" s="3">
        <v>75</v>
      </c>
      <c r="O23" s="3">
        <f t="shared" si="0"/>
        <v>75</v>
      </c>
      <c r="R23" s="4"/>
      <c r="U23" s="4"/>
      <c r="X23" s="4"/>
      <c r="Y23" s="3" t="s">
        <v>83</v>
      </c>
      <c r="AA23" s="11">
        <f>L27</f>
        <v>820</v>
      </c>
      <c r="AB23" s="4"/>
    </row>
    <row r="24" spans="3:28" x14ac:dyDescent="0.3">
      <c r="C24" s="4"/>
      <c r="I24" s="4"/>
      <c r="J24" s="3" t="s">
        <v>84</v>
      </c>
      <c r="K24" s="3">
        <v>350</v>
      </c>
      <c r="O24" s="3">
        <f t="shared" si="0"/>
        <v>350</v>
      </c>
      <c r="R24" s="4"/>
      <c r="U24" s="4"/>
      <c r="X24" s="4"/>
      <c r="AB24" s="4"/>
    </row>
    <row r="25" spans="3:28" x14ac:dyDescent="0.3">
      <c r="C25" s="4"/>
      <c r="I25" s="4"/>
      <c r="J25" s="3" t="s">
        <v>113</v>
      </c>
      <c r="K25" s="3">
        <v>154</v>
      </c>
      <c r="O25" s="3">
        <f>SUM(K25:N25)</f>
        <v>154</v>
      </c>
      <c r="R25" s="4"/>
      <c r="U25" s="4"/>
      <c r="X25" s="4"/>
      <c r="Y25" s="3" t="s">
        <v>93</v>
      </c>
      <c r="AA25" s="11">
        <v>2000</v>
      </c>
      <c r="AB25" s="4"/>
    </row>
    <row r="26" spans="3:28" x14ac:dyDescent="0.3">
      <c r="C26" s="3"/>
      <c r="I26" s="3"/>
      <c r="J26" s="3" t="s">
        <v>128</v>
      </c>
      <c r="K26" s="3">
        <v>301</v>
      </c>
      <c r="O26" s="3">
        <f>SUM(K26:N26)</f>
        <v>301</v>
      </c>
      <c r="R26" s="3"/>
      <c r="U26" s="3"/>
      <c r="X26" s="3"/>
      <c r="AB26" s="3"/>
    </row>
    <row r="27" spans="3:28" x14ac:dyDescent="0.3">
      <c r="C27" s="3"/>
      <c r="I27" s="3"/>
      <c r="J27" s="3" t="s">
        <v>2</v>
      </c>
      <c r="K27" s="3">
        <f>SUM(K7:K26)</f>
        <v>1892</v>
      </c>
      <c r="L27" s="3">
        <f>SUM(L7:L25)</f>
        <v>820</v>
      </c>
      <c r="M27" s="3">
        <f>SUM(M7:M25)</f>
        <v>1235</v>
      </c>
      <c r="N27" s="3">
        <f>SUM(N7:N25)</f>
        <v>27</v>
      </c>
      <c r="R27" s="3"/>
      <c r="U27" s="3"/>
      <c r="X27" s="3"/>
      <c r="Y27" s="3" t="s">
        <v>94</v>
      </c>
      <c r="AA27" s="13">
        <f>T2</f>
        <v>595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95</v>
      </c>
      <c r="AA29" s="11">
        <f>M27</f>
        <v>1235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6" t="s">
        <v>112</v>
      </c>
      <c r="E31" s="3" t="s">
        <v>98</v>
      </c>
      <c r="I31" s="3"/>
      <c r="J31" s="3" t="s">
        <v>19</v>
      </c>
      <c r="O31" s="3" t="s">
        <v>59</v>
      </c>
      <c r="P31" s="3" t="s">
        <v>61</v>
      </c>
      <c r="Q31" s="3" t="s">
        <v>20</v>
      </c>
      <c r="R31" s="3"/>
      <c r="U31" s="3"/>
      <c r="X31" s="3"/>
      <c r="Y31" s="3" t="s">
        <v>97</v>
      </c>
      <c r="AA31" s="10">
        <f>W2</f>
        <v>12795</v>
      </c>
      <c r="AB31" s="3"/>
    </row>
    <row r="32" spans="3:28" x14ac:dyDescent="0.3">
      <c r="C32" s="3"/>
      <c r="D32">
        <v>20221</v>
      </c>
      <c r="E32" s="3" t="e">
        <f>D32+#REF!</f>
        <v>#REF!</v>
      </c>
      <c r="I32" s="3"/>
      <c r="J32" s="3">
        <f>الأرصدة!M29-'مصاريف الشهر'!D32</f>
        <v>7652</v>
      </c>
      <c r="O32" s="3">
        <f>E3</f>
        <v>1500</v>
      </c>
      <c r="P32" s="3">
        <f>F3</f>
        <v>6152</v>
      </c>
      <c r="Q32" s="3">
        <f>J32-SUM(O32:P32)</f>
        <v>0</v>
      </c>
      <c r="R32" s="3"/>
      <c r="U32" s="3"/>
      <c r="X32" s="3"/>
      <c r="AB32" s="3"/>
    </row>
    <row r="33" spans="3:28" x14ac:dyDescent="0.3">
      <c r="C33" s="3"/>
      <c r="I33" s="3"/>
      <c r="R33" s="3"/>
      <c r="U33" s="3"/>
      <c r="X33" s="3"/>
      <c r="Y33" s="3" t="s">
        <v>68</v>
      </c>
      <c r="Z33" s="3">
        <v>2000</v>
      </c>
      <c r="AB33" s="3"/>
    </row>
    <row r="34" spans="3:28" x14ac:dyDescent="0.3">
      <c r="C34" s="3"/>
      <c r="I34" s="3"/>
      <c r="R34" s="3"/>
      <c r="U34" s="3"/>
      <c r="X34" s="3"/>
      <c r="Y34" s="3" t="s">
        <v>20</v>
      </c>
      <c r="Z34" s="3">
        <f>G5</f>
        <v>126</v>
      </c>
      <c r="AB34" s="3"/>
    </row>
    <row r="35" spans="3:28" x14ac:dyDescent="0.3">
      <c r="C35" s="3"/>
      <c r="I35" s="3"/>
      <c r="R35" s="3"/>
      <c r="U35" s="3"/>
      <c r="X35" s="3"/>
      <c r="Y35" s="3" t="s">
        <v>101</v>
      </c>
      <c r="Z35" s="3">
        <v>-56</v>
      </c>
      <c r="AB35" s="3"/>
    </row>
    <row r="36" spans="3:28" x14ac:dyDescent="0.3">
      <c r="C36" s="3"/>
      <c r="I36" s="3"/>
      <c r="R36" s="3"/>
      <c r="U36" s="3"/>
      <c r="X36" s="3"/>
      <c r="AB36" s="3"/>
    </row>
    <row r="37" spans="3:28" x14ac:dyDescent="0.3">
      <c r="Y37" s="3" t="s">
        <v>99</v>
      </c>
      <c r="AA37" s="10">
        <f>SUM(Z33:Z35)</f>
        <v>2070</v>
      </c>
    </row>
    <row r="39" spans="3:28" x14ac:dyDescent="0.3">
      <c r="Y39" s="3" t="s">
        <v>100</v>
      </c>
    </row>
    <row r="40" spans="3:28" x14ac:dyDescent="0.3">
      <c r="Y40" s="3" t="s">
        <v>101</v>
      </c>
      <c r="Z40" s="3">
        <v>500</v>
      </c>
    </row>
    <row r="41" spans="3:28" x14ac:dyDescent="0.3">
      <c r="AA41" s="11">
        <f>SUM(Z40:Z40)</f>
        <v>500</v>
      </c>
    </row>
    <row r="43" spans="3:28" x14ac:dyDescent="0.3">
      <c r="Y43" s="17" t="s">
        <v>14</v>
      </c>
      <c r="Z43" s="3">
        <v>150</v>
      </c>
    </row>
    <row r="44" spans="3:28" x14ac:dyDescent="0.3">
      <c r="Y44" s="17" t="s">
        <v>11</v>
      </c>
      <c r="Z44" s="3">
        <v>77</v>
      </c>
    </row>
    <row r="45" spans="3:28" x14ac:dyDescent="0.3">
      <c r="Y45" s="3" t="s">
        <v>111</v>
      </c>
      <c r="AA45" s="11">
        <f>SUM(Z43:Z44)</f>
        <v>227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Z36"/>
  <sheetViews>
    <sheetView rightToLeft="1" topLeftCell="A7" workbookViewId="0">
      <selection activeCell="R3" sqref="R3"/>
    </sheetView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0.1640625" bestFit="1" customWidth="1"/>
    <col min="17" max="17" width="0.6640625" customWidth="1"/>
    <col min="18" max="18" width="11" bestFit="1" customWidth="1"/>
    <col min="19" max="19" width="25.5" customWidth="1"/>
    <col min="20" max="20" width="10.1640625" bestFit="1" customWidth="1"/>
    <col min="21" max="21" width="0.6640625" customWidth="1"/>
  </cols>
  <sheetData>
    <row r="1" spans="1:21" ht="22" x14ac:dyDescent="0.3">
      <c r="A1" s="3" t="s">
        <v>50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4"/>
      <c r="R1" s="3" t="s">
        <v>22</v>
      </c>
      <c r="S1" s="3"/>
      <c r="T1" s="3"/>
      <c r="U1" s="2"/>
    </row>
    <row r="2" spans="1:21" ht="22" x14ac:dyDescent="0.3">
      <c r="A2" s="3" t="s">
        <v>51</v>
      </c>
      <c r="B2" s="2"/>
      <c r="C2" s="14">
        <f>SUM(D6:D19)</f>
        <v>7650</v>
      </c>
      <c r="D2" s="3"/>
      <c r="E2" s="4"/>
      <c r="F2" s="3">
        <f>SUM(G6:G19)</f>
        <v>-27</v>
      </c>
      <c r="H2" s="4"/>
      <c r="I2" s="14">
        <f>SUM(J6:J11)</f>
        <v>5300</v>
      </c>
      <c r="K2" s="4"/>
      <c r="L2" s="14">
        <f>SUM(M6:M13)</f>
        <v>3008</v>
      </c>
      <c r="N2" s="4"/>
      <c r="O2" s="14">
        <f>SUM(P6:P20)</f>
        <v>60265</v>
      </c>
      <c r="Q2" s="4"/>
      <c r="R2" s="14">
        <f>SUM(T6:T19)</f>
        <v>27223</v>
      </c>
      <c r="S2" s="14"/>
      <c r="U2" s="2"/>
    </row>
    <row r="3" spans="1:21" ht="22" x14ac:dyDescent="0.3">
      <c r="A3" s="3" t="s">
        <v>48</v>
      </c>
      <c r="B3" s="2"/>
      <c r="C3" s="14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4"/>
      <c r="R3" s="3"/>
      <c r="S3" s="3"/>
      <c r="T3" s="3"/>
      <c r="U3" s="2"/>
    </row>
    <row r="4" spans="1:21" ht="22" x14ac:dyDescent="0.3">
      <c r="B4" s="2"/>
      <c r="C4" s="3" t="s">
        <v>25</v>
      </c>
      <c r="D4" s="14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4"/>
      <c r="R4" s="3"/>
      <c r="S4" s="3"/>
      <c r="T4" s="3"/>
      <c r="U4" s="2"/>
    </row>
    <row r="5" spans="1:21" ht="22" x14ac:dyDescent="0.3">
      <c r="B5" s="2"/>
      <c r="C5" s="3"/>
      <c r="D5" s="14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4"/>
      <c r="R5" s="3"/>
      <c r="S5" s="3"/>
      <c r="T5" s="3"/>
      <c r="U5" s="2"/>
    </row>
    <row r="6" spans="1:21" ht="22" x14ac:dyDescent="0.3">
      <c r="B6" s="2"/>
      <c r="C6" s="3" t="s">
        <v>26</v>
      </c>
      <c r="D6" s="14">
        <v>19300</v>
      </c>
      <c r="E6" s="4"/>
      <c r="F6" s="3" t="s">
        <v>26</v>
      </c>
      <c r="G6" s="14">
        <v>-653</v>
      </c>
      <c r="H6" s="4"/>
      <c r="I6" s="3" t="s">
        <v>29</v>
      </c>
      <c r="J6" s="14">
        <v>2600</v>
      </c>
      <c r="K6" s="4"/>
      <c r="L6" s="3" t="s">
        <v>26</v>
      </c>
      <c r="M6" s="14">
        <v>3448</v>
      </c>
      <c r="N6" s="4"/>
      <c r="O6" s="3" t="s">
        <v>26</v>
      </c>
      <c r="P6" s="14">
        <v>39948</v>
      </c>
      <c r="Q6" s="4"/>
      <c r="R6">
        <v>1</v>
      </c>
      <c r="S6" s="3" t="s">
        <v>39</v>
      </c>
      <c r="T6" s="14">
        <v>187</v>
      </c>
      <c r="U6" s="2"/>
    </row>
    <row r="7" spans="1:21" ht="22" x14ac:dyDescent="0.3">
      <c r="B7" s="2"/>
      <c r="C7" s="3">
        <v>1</v>
      </c>
      <c r="D7" s="14">
        <v>-17750</v>
      </c>
      <c r="E7" s="4"/>
      <c r="F7" s="3">
        <v>1</v>
      </c>
      <c r="G7" s="14">
        <v>313</v>
      </c>
      <c r="H7" s="4"/>
      <c r="I7" s="3" t="s">
        <v>30</v>
      </c>
      <c r="J7" s="14">
        <v>800</v>
      </c>
      <c r="K7" s="4"/>
      <c r="L7" s="3">
        <v>1</v>
      </c>
      <c r="M7" s="14"/>
      <c r="N7" s="4"/>
      <c r="O7" s="3">
        <v>1</v>
      </c>
      <c r="P7" s="14">
        <v>864</v>
      </c>
      <c r="Q7" s="4"/>
      <c r="R7">
        <v>1</v>
      </c>
      <c r="S7" s="3" t="s">
        <v>40</v>
      </c>
      <c r="T7" s="14">
        <v>1083</v>
      </c>
      <c r="U7" s="2"/>
    </row>
    <row r="8" spans="1:21" ht="22" x14ac:dyDescent="0.3">
      <c r="B8" s="2"/>
      <c r="C8" s="3">
        <v>1</v>
      </c>
      <c r="D8" s="14">
        <v>3050</v>
      </c>
      <c r="E8" s="4"/>
      <c r="F8" s="3">
        <v>2</v>
      </c>
      <c r="G8" s="14">
        <v>313</v>
      </c>
      <c r="H8" s="4"/>
      <c r="I8" s="3" t="s">
        <v>31</v>
      </c>
      <c r="J8" s="14">
        <v>1000</v>
      </c>
      <c r="K8" s="4"/>
      <c r="L8" s="3">
        <v>2</v>
      </c>
      <c r="M8" s="14">
        <v>2000</v>
      </c>
      <c r="N8" s="4"/>
      <c r="O8" s="3">
        <v>1</v>
      </c>
      <c r="P8" s="14">
        <v>17777</v>
      </c>
      <c r="Q8" s="4"/>
      <c r="R8">
        <v>1</v>
      </c>
      <c r="S8" s="3" t="s">
        <v>41</v>
      </c>
      <c r="T8" s="14">
        <v>721</v>
      </c>
      <c r="U8" s="2"/>
    </row>
    <row r="9" spans="1:21" ht="22" x14ac:dyDescent="0.3">
      <c r="B9" s="2"/>
      <c r="C9" s="3">
        <v>2</v>
      </c>
      <c r="D9" s="14">
        <v>3050</v>
      </c>
      <c r="E9" s="4"/>
      <c r="F9" s="3">
        <v>3</v>
      </c>
      <c r="G9" s="14"/>
      <c r="H9" s="4"/>
      <c r="I9" s="3" t="s">
        <v>32</v>
      </c>
      <c r="J9" s="14">
        <v>500</v>
      </c>
      <c r="K9" s="4"/>
      <c r="L9" s="3">
        <v>3</v>
      </c>
      <c r="M9" s="14">
        <v>-2440</v>
      </c>
      <c r="N9" s="4"/>
      <c r="O9" s="3">
        <v>2</v>
      </c>
      <c r="P9" s="14">
        <v>1676</v>
      </c>
      <c r="Q9" s="4"/>
      <c r="R9">
        <v>1</v>
      </c>
      <c r="S9" s="3" t="s">
        <v>42</v>
      </c>
      <c r="T9" s="14">
        <v>4479</v>
      </c>
      <c r="U9" s="2"/>
    </row>
    <row r="10" spans="1:21" ht="22" x14ac:dyDescent="0.3">
      <c r="B10" s="2"/>
      <c r="C10" s="3">
        <v>3</v>
      </c>
      <c r="D10" s="14"/>
      <c r="E10" s="4"/>
      <c r="F10" s="3">
        <v>4</v>
      </c>
      <c r="G10" s="14"/>
      <c r="H10" s="4"/>
      <c r="I10" s="3" t="s">
        <v>33</v>
      </c>
      <c r="J10" s="14">
        <v>400</v>
      </c>
      <c r="K10" s="4"/>
      <c r="L10" s="3"/>
      <c r="M10" s="14"/>
      <c r="N10" s="4"/>
      <c r="O10" s="3"/>
      <c r="P10" s="14"/>
      <c r="Q10" s="4"/>
      <c r="R10">
        <v>1</v>
      </c>
      <c r="S10" s="3" t="s">
        <v>44</v>
      </c>
      <c r="T10" s="14">
        <v>540</v>
      </c>
      <c r="U10" s="2"/>
    </row>
    <row r="11" spans="1:21" ht="22" x14ac:dyDescent="0.3">
      <c r="B11" s="2"/>
      <c r="C11" s="3">
        <v>4</v>
      </c>
      <c r="D11" s="14"/>
      <c r="E11" s="4"/>
      <c r="F11" s="3">
        <v>5</v>
      </c>
      <c r="G11" s="14"/>
      <c r="H11" s="4"/>
      <c r="I11" s="3"/>
      <c r="J11" s="14"/>
      <c r="K11" s="4"/>
      <c r="L11" s="3" t="s">
        <v>27</v>
      </c>
      <c r="M11" s="14"/>
      <c r="N11" s="4"/>
      <c r="O11" s="3"/>
      <c r="P11" s="14"/>
      <c r="Q11" s="4"/>
      <c r="R11">
        <v>1</v>
      </c>
      <c r="S11" s="3" t="s">
        <v>43</v>
      </c>
      <c r="T11" s="14">
        <v>3162</v>
      </c>
      <c r="U11" s="2"/>
    </row>
    <row r="12" spans="1:21" ht="22" x14ac:dyDescent="0.3">
      <c r="B12" s="2"/>
      <c r="C12" s="3">
        <v>5</v>
      </c>
      <c r="D12" s="14"/>
      <c r="E12" s="4"/>
      <c r="F12" s="3">
        <v>6</v>
      </c>
      <c r="G12" s="14"/>
      <c r="H12" s="4"/>
      <c r="I12" s="3"/>
      <c r="J12" s="14"/>
      <c r="K12" s="4"/>
      <c r="L12" s="3" t="s">
        <v>35</v>
      </c>
      <c r="M12" s="14"/>
      <c r="N12" s="4"/>
      <c r="O12" s="3"/>
      <c r="P12" s="14"/>
      <c r="Q12" s="4"/>
      <c r="R12">
        <v>2</v>
      </c>
      <c r="S12" s="1" t="s">
        <v>105</v>
      </c>
      <c r="T12" s="14">
        <v>10000</v>
      </c>
      <c r="U12" s="2"/>
    </row>
    <row r="13" spans="1:21" ht="22" x14ac:dyDescent="0.3">
      <c r="B13" s="2"/>
      <c r="C13" s="3">
        <v>6</v>
      </c>
      <c r="D13" s="14"/>
      <c r="E13" s="4"/>
      <c r="F13" s="3">
        <v>7</v>
      </c>
      <c r="G13" s="14"/>
      <c r="H13" s="4"/>
      <c r="I13" s="3"/>
      <c r="J13" s="14"/>
      <c r="K13" s="4"/>
      <c r="L13" s="3" t="s">
        <v>27</v>
      </c>
      <c r="M13" s="14"/>
      <c r="N13" s="4"/>
      <c r="O13" s="3"/>
      <c r="P13" s="14"/>
      <c r="Q13" s="4"/>
      <c r="R13">
        <v>2</v>
      </c>
      <c r="S13" s="3" t="s">
        <v>103</v>
      </c>
      <c r="T13" s="14">
        <v>1000</v>
      </c>
      <c r="U13" s="2"/>
    </row>
    <row r="14" spans="1:21" ht="22" x14ac:dyDescent="0.3">
      <c r="B14" s="2"/>
      <c r="C14" s="3">
        <v>7</v>
      </c>
      <c r="D14" s="14"/>
      <c r="E14" s="4"/>
      <c r="F14" s="3">
        <v>8</v>
      </c>
      <c r="G14" s="14"/>
      <c r="H14" s="4"/>
      <c r="I14" s="3"/>
      <c r="J14" s="14"/>
      <c r="K14" s="4"/>
      <c r="L14" s="3"/>
      <c r="M14" s="14"/>
      <c r="N14" s="4"/>
      <c r="O14" s="3"/>
      <c r="P14" s="14"/>
      <c r="Q14" s="4"/>
      <c r="R14">
        <v>2</v>
      </c>
      <c r="S14" s="3" t="s">
        <v>106</v>
      </c>
      <c r="T14" s="14">
        <v>500</v>
      </c>
      <c r="U14" s="2"/>
    </row>
    <row r="15" spans="1:21" ht="22" x14ac:dyDescent="0.3">
      <c r="B15" s="2"/>
      <c r="C15" s="3">
        <v>8</v>
      </c>
      <c r="D15" s="14"/>
      <c r="E15" s="4"/>
      <c r="F15" s="3">
        <v>9</v>
      </c>
      <c r="G15" s="14"/>
      <c r="H15" s="4"/>
      <c r="I15" s="3"/>
      <c r="J15" s="14"/>
      <c r="K15" s="4"/>
      <c r="L15" s="3"/>
      <c r="M15" s="14"/>
      <c r="N15" s="4"/>
      <c r="O15" s="3"/>
      <c r="P15" s="14"/>
      <c r="Q15" s="4"/>
      <c r="R15" s="3">
        <v>3</v>
      </c>
      <c r="S15" s="3" t="s">
        <v>127</v>
      </c>
      <c r="T15" s="3">
        <v>3701</v>
      </c>
      <c r="U15" s="2"/>
    </row>
    <row r="16" spans="1:21" ht="22" x14ac:dyDescent="0.3">
      <c r="B16" s="2"/>
      <c r="C16" s="3">
        <v>9</v>
      </c>
      <c r="D16" s="14"/>
      <c r="E16" s="4"/>
      <c r="F16" s="3">
        <v>10</v>
      </c>
      <c r="G16" s="14"/>
      <c r="H16" s="4"/>
      <c r="I16" s="3"/>
      <c r="J16" s="14"/>
      <c r="K16" s="4"/>
      <c r="L16" s="3"/>
      <c r="M16" s="14"/>
      <c r="N16" s="4"/>
      <c r="O16" s="3"/>
      <c r="P16" s="14"/>
      <c r="Q16" s="4"/>
      <c r="R16" s="3">
        <v>3</v>
      </c>
      <c r="S16" s="3" t="s">
        <v>114</v>
      </c>
      <c r="T16" s="3">
        <v>1000</v>
      </c>
      <c r="U16" s="2"/>
    </row>
    <row r="17" spans="2:23" ht="22" x14ac:dyDescent="0.3">
      <c r="B17" s="2"/>
      <c r="C17" s="3">
        <v>10</v>
      </c>
      <c r="D17" s="14"/>
      <c r="E17" s="4"/>
      <c r="F17" s="3">
        <v>11</v>
      </c>
      <c r="G17" s="14"/>
      <c r="H17" s="4"/>
      <c r="I17" s="3"/>
      <c r="J17" s="14"/>
      <c r="K17" s="4"/>
      <c r="L17" s="3"/>
      <c r="M17" s="14"/>
      <c r="N17" s="4"/>
      <c r="O17" s="3"/>
      <c r="P17" s="14"/>
      <c r="Q17" s="4"/>
      <c r="R17" s="3">
        <v>3</v>
      </c>
      <c r="S17" s="3" t="s">
        <v>129</v>
      </c>
      <c r="T17" s="14">
        <v>850</v>
      </c>
      <c r="U17" s="2"/>
    </row>
    <row r="18" spans="2:23" ht="22" x14ac:dyDescent="0.3">
      <c r="B18" s="2"/>
      <c r="C18" s="3">
        <v>11</v>
      </c>
      <c r="D18" s="14"/>
      <c r="E18" s="4"/>
      <c r="F18" s="3">
        <v>12</v>
      </c>
      <c r="G18" s="14"/>
      <c r="H18" s="4"/>
      <c r="I18" s="3"/>
      <c r="J18" s="14"/>
      <c r="K18" s="4"/>
      <c r="L18" s="3"/>
      <c r="M18" s="14"/>
      <c r="N18" s="4"/>
      <c r="O18" s="3"/>
      <c r="P18" s="14"/>
      <c r="Q18" s="4"/>
      <c r="R18" s="3"/>
      <c r="S18" s="3"/>
      <c r="T18" s="14"/>
      <c r="U18" s="2"/>
    </row>
    <row r="19" spans="2:23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4"/>
      <c r="R19" s="3"/>
      <c r="S19" s="3"/>
      <c r="T19" s="14"/>
      <c r="U19" s="2"/>
    </row>
    <row r="20" spans="2:23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4"/>
      <c r="R20" s="3"/>
      <c r="S20" s="3"/>
      <c r="T20" s="14"/>
      <c r="U20" s="2"/>
    </row>
    <row r="21" spans="2:23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"/>
    </row>
    <row r="22" spans="2:23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3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O2-R2</f>
        <v>33042</v>
      </c>
      <c r="N23" s="4"/>
      <c r="O23" s="3"/>
      <c r="P23" s="3"/>
      <c r="Q23" s="3"/>
      <c r="R23" s="3"/>
      <c r="S23" s="3"/>
      <c r="T23" s="3"/>
    </row>
    <row r="24" spans="2:23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7650</v>
      </c>
      <c r="N24" s="4"/>
      <c r="O24" s="3"/>
      <c r="P24" s="3"/>
      <c r="Q24" s="3"/>
      <c r="R24" s="3"/>
      <c r="S24" s="3"/>
      <c r="T24" s="3"/>
    </row>
    <row r="25" spans="2:23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</row>
    <row r="26" spans="2:23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-5300</v>
      </c>
      <c r="N26" s="4"/>
      <c r="O26" s="3"/>
      <c r="P26" s="3"/>
      <c r="Q26" s="3"/>
      <c r="R26" s="3"/>
      <c r="S26" s="3"/>
      <c r="T26" s="3"/>
      <c r="W26" t="s">
        <v>102</v>
      </c>
    </row>
    <row r="27" spans="2:23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37</v>
      </c>
      <c r="M27" s="6">
        <v>-10500</v>
      </c>
      <c r="N27" s="4"/>
      <c r="O27" s="3"/>
      <c r="P27" s="3"/>
      <c r="Q27" s="3"/>
      <c r="R27" s="3"/>
      <c r="S27" s="3"/>
      <c r="T27" s="3"/>
      <c r="V27">
        <v>35266</v>
      </c>
      <c r="W27" s="15">
        <f>M29-V27</f>
        <v>-7393</v>
      </c>
    </row>
    <row r="28" spans="2:23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-27</v>
      </c>
      <c r="N28" s="4"/>
      <c r="O28" s="3"/>
      <c r="P28" s="3"/>
      <c r="Q28" s="3"/>
      <c r="R28" s="3"/>
      <c r="S28" s="3"/>
      <c r="T28" s="3"/>
    </row>
    <row r="29" spans="2:23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38</v>
      </c>
      <c r="M29" s="6">
        <f>SUM(M23:M28)</f>
        <v>27873</v>
      </c>
      <c r="N29" s="4"/>
      <c r="O29" s="3"/>
      <c r="P29" s="3"/>
      <c r="Q29" s="3"/>
      <c r="R29" s="3"/>
      <c r="S29" s="3"/>
      <c r="T29" s="3"/>
    </row>
    <row r="30" spans="2:23" ht="22" x14ac:dyDescent="0.3">
      <c r="C30" s="3"/>
      <c r="D30" s="3"/>
      <c r="E30" s="3"/>
      <c r="F30" s="3"/>
      <c r="G30" s="3"/>
      <c r="H30" s="3"/>
      <c r="I30" s="3"/>
      <c r="J30" s="3"/>
      <c r="O30" s="3"/>
      <c r="P30" s="3"/>
      <c r="Q30" s="3"/>
      <c r="R30" s="3"/>
      <c r="S30" s="3"/>
      <c r="T30" s="3"/>
    </row>
    <row r="31" spans="2:23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5"/>
      <c r="S31" s="5"/>
      <c r="T31" s="5"/>
    </row>
    <row r="36" spans="26:26" x14ac:dyDescent="0.2">
      <c r="Z36">
        <f>SUM('مصاريف الشهر'!E7:E20)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2026-03-27T19:44:38Z</dcterms:modified>
</cp:coreProperties>
</file>