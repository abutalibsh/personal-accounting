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utalib/Projects/personal-accounting/"/>
    </mc:Choice>
  </mc:AlternateContent>
  <xr:revisionPtr revIDLastSave="0" documentId="13_ncr:1_{AEBC8499-8592-4B4D-992C-0B79B90D2F50}" xr6:coauthVersionLast="47" xr6:coauthVersionMax="47" xr10:uidLastSave="{00000000-0000-0000-0000-000000000000}"/>
  <bookViews>
    <workbookView xWindow="0" yWindow="660" windowWidth="29840" windowHeight="17380" activeTab="1" xr2:uid="{7E62CB60-3E82-0E48-87C0-051D0E492E72}"/>
  </bookViews>
  <sheets>
    <sheet name="مصاريف الشهر" sheetId="1" r:id="rId1"/>
    <sheet name="الأرصد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7" i="1" l="1"/>
  <c r="AA46" i="1"/>
  <c r="F7" i="1"/>
  <c r="S3" i="1"/>
  <c r="C2" i="2"/>
  <c r="H3" i="1"/>
  <c r="G3" i="1"/>
  <c r="E3" i="1"/>
  <c r="S2" i="2"/>
  <c r="AE24" i="2"/>
  <c r="AE25" i="2"/>
  <c r="AE26" i="2"/>
  <c r="AE27" i="2"/>
  <c r="X2" i="2" s="1"/>
  <c r="W2" i="2"/>
  <c r="AG2" i="2"/>
  <c r="AA2" i="2"/>
  <c r="K23" i="1" s="1"/>
  <c r="T18" i="2"/>
  <c r="O23" i="1" l="1"/>
  <c r="AD2" i="2"/>
  <c r="AF6" i="2"/>
  <c r="AF2" i="2" s="1"/>
  <c r="AE2" i="2"/>
  <c r="Y2" i="2" l="1"/>
  <c r="U18" i="2"/>
  <c r="K27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F3" i="1"/>
  <c r="O7" i="1" l="1"/>
  <c r="AA39" i="1"/>
  <c r="Z44" i="1" s="1"/>
  <c r="F4" i="1"/>
  <c r="O32" i="1" l="1"/>
  <c r="AA35" i="1"/>
  <c r="A3" i="1"/>
  <c r="N27" i="1"/>
  <c r="AD2" i="1"/>
  <c r="Z15" i="1"/>
  <c r="AA21" i="1" s="1"/>
  <c r="L27" i="1"/>
  <c r="AA23" i="1" s="1"/>
  <c r="AA9" i="1"/>
  <c r="E4" i="1"/>
  <c r="T2" i="1"/>
  <c r="W7" i="1"/>
  <c r="W8" i="1"/>
  <c r="AA27" i="1" l="1"/>
  <c r="AD3" i="1"/>
  <c r="F5" i="1"/>
  <c r="H4" i="1" s="1"/>
  <c r="P32" i="1"/>
  <c r="I2" i="2"/>
  <c r="M26" i="2" s="1"/>
  <c r="L2" i="2"/>
  <c r="M25" i="2" s="1"/>
  <c r="F2" i="2"/>
  <c r="M28" i="2" s="1"/>
  <c r="M24" i="2"/>
  <c r="O2" i="2"/>
  <c r="O8" i="1"/>
  <c r="M8" i="1" s="1"/>
  <c r="M7" i="1"/>
  <c r="O2" i="1" l="1"/>
  <c r="E5" i="1" s="1"/>
  <c r="G4" i="1" s="1"/>
  <c r="G5" i="1" s="1"/>
  <c r="Z42" i="1" s="1"/>
  <c r="AA45" i="1" s="1"/>
  <c r="H5" i="1"/>
  <c r="W9" i="1" s="1"/>
  <c r="M23" i="2"/>
  <c r="M29" i="2" l="1"/>
  <c r="M30" i="2"/>
  <c r="M27" i="1"/>
  <c r="AA29" i="1" s="1"/>
  <c r="Y27" i="2" l="1"/>
  <c r="J32" i="1"/>
  <c r="J33" i="1" s="1"/>
  <c r="Q32" i="1" l="1"/>
  <c r="W11" i="1"/>
  <c r="W2" i="1" s="1"/>
  <c r="AA31" i="1" s="1"/>
  <c r="AA2" i="1" s="1"/>
  <c r="E32" i="1"/>
</calcChain>
</file>

<file path=xl/sharedStrings.xml><?xml version="1.0" encoding="utf-8"?>
<sst xmlns="http://schemas.openxmlformats.org/spreadsheetml/2006/main" count="214" uniqueCount="170">
  <si>
    <t>فاتورة الكهرباء</t>
  </si>
  <si>
    <t>فاتورة الانترنت</t>
  </si>
  <si>
    <t>إجمالي</t>
  </si>
  <si>
    <t>جوالي</t>
  </si>
  <si>
    <t>جوال المرة</t>
  </si>
  <si>
    <t>غسيل السيارة</t>
  </si>
  <si>
    <t>مصروف يد لمنى</t>
  </si>
  <si>
    <t>صدقة يومية</t>
  </si>
  <si>
    <t>كماليات</t>
  </si>
  <si>
    <t>رسوم مقيم</t>
  </si>
  <si>
    <t>ماك</t>
  </si>
  <si>
    <t>شات جبت</t>
  </si>
  <si>
    <t>كفالة أيتام</t>
  </si>
  <si>
    <t>إضافة مقاضي</t>
  </si>
  <si>
    <t>جيم ناشن</t>
  </si>
  <si>
    <t>كلود</t>
  </si>
  <si>
    <t>مخالفة شهرية</t>
  </si>
  <si>
    <t>مصاريف شهرية</t>
  </si>
  <si>
    <t>مصاريف الشهر</t>
  </si>
  <si>
    <t>فرق الادخار الحالي</t>
  </si>
  <si>
    <t>المتبقي</t>
  </si>
  <si>
    <t>إيداعات</t>
  </si>
  <si>
    <t>الخصومات</t>
  </si>
  <si>
    <t>الرصيد الحر</t>
  </si>
  <si>
    <t>إيجار</t>
  </si>
  <si>
    <t>المبلغ للستة أشهر</t>
  </si>
  <si>
    <t>رصيد افتتاحي</t>
  </si>
  <si>
    <t>دفع</t>
  </si>
  <si>
    <t>السلف</t>
  </si>
  <si>
    <t>حبيب</t>
  </si>
  <si>
    <t>سالم سعيد</t>
  </si>
  <si>
    <t>وائل</t>
  </si>
  <si>
    <t>نبيل</t>
  </si>
  <si>
    <t>عمر الكثيري</t>
  </si>
  <si>
    <t>رسوم مرافقين</t>
  </si>
  <si>
    <t>تحويل</t>
  </si>
  <si>
    <t>سلف</t>
  </si>
  <si>
    <t>الرصيد</t>
  </si>
  <si>
    <t>تصحيح</t>
  </si>
  <si>
    <t>تأمين الأودي</t>
  </si>
  <si>
    <t>زيت الأودي</t>
  </si>
  <si>
    <t>تصليح الأودي</t>
  </si>
  <si>
    <t>قسط الجامعة 1- الفصل 1</t>
  </si>
  <si>
    <t>رسوم التسجيل للجامعة</t>
  </si>
  <si>
    <t>تحويلات حساب الادخار</t>
  </si>
  <si>
    <t>الإيجار</t>
  </si>
  <si>
    <t>القسط الشهري</t>
  </si>
  <si>
    <t>رسوم المرافقين</t>
  </si>
  <si>
    <t>نوع الحساب</t>
  </si>
  <si>
    <t>الإجمالي</t>
  </si>
  <si>
    <t>تقسيم الراتب</t>
  </si>
  <si>
    <t>جمعية</t>
  </si>
  <si>
    <t>ادخار ثابت</t>
  </si>
  <si>
    <t>ادخار إضافي</t>
  </si>
  <si>
    <t>تفاصيل</t>
  </si>
  <si>
    <t>سلف الادخار</t>
  </si>
  <si>
    <t>الهامش</t>
  </si>
  <si>
    <t>الادخار</t>
  </si>
  <si>
    <t>الادخار الثابت</t>
  </si>
  <si>
    <t>من الهامش</t>
  </si>
  <si>
    <t>الحد</t>
  </si>
  <si>
    <t>مصاريف الفيزا</t>
  </si>
  <si>
    <t>راتب حياة</t>
  </si>
  <si>
    <t>مصروف أبوي</t>
  </si>
  <si>
    <t>مصروف لأمي</t>
  </si>
  <si>
    <t>مصروفي</t>
  </si>
  <si>
    <t>مصاريف البيت</t>
  </si>
  <si>
    <t>مقاضي البيت</t>
  </si>
  <si>
    <t>ريمة</t>
  </si>
  <si>
    <t>ادخار</t>
  </si>
  <si>
    <t>مصروف مخطط</t>
  </si>
  <si>
    <t>سلفة من الادخار</t>
  </si>
  <si>
    <t>إجمالي التحويل لمعاذ</t>
  </si>
  <si>
    <t>سيرفر</t>
  </si>
  <si>
    <t>تكمو</t>
  </si>
  <si>
    <t>الأهلي</t>
  </si>
  <si>
    <t>المصاريف الشهرية</t>
  </si>
  <si>
    <t>مقاضي</t>
  </si>
  <si>
    <t>مبلغ منى</t>
  </si>
  <si>
    <t>إجمالي التحويل لتكمو</t>
  </si>
  <si>
    <t>تحويل البنك الأهلي لمنى</t>
  </si>
  <si>
    <t>التحويل من تكمو</t>
  </si>
  <si>
    <t>stc pay</t>
  </si>
  <si>
    <t>stc app</t>
  </si>
  <si>
    <t>tabby</t>
  </si>
  <si>
    <t>mona techmo</t>
  </si>
  <si>
    <t>digital ocean</t>
  </si>
  <si>
    <t>month 5th</t>
  </si>
  <si>
    <t>جمعية لدحماني</t>
  </si>
  <si>
    <t>الفيزا</t>
  </si>
  <si>
    <t>فواتير الراجحي</t>
  </si>
  <si>
    <t>تنفيذ مبالغ التحويل</t>
  </si>
  <si>
    <t>تحويل حساب الادخار</t>
  </si>
  <si>
    <t>الرصيد المتوقع بعد التحويلات</t>
  </si>
  <si>
    <t>الرصيد الجاري المتوقع</t>
  </si>
  <si>
    <t>منصرفات استباقية</t>
  </si>
  <si>
    <t>مصروف معجل</t>
  </si>
  <si>
    <t>الفرق</t>
  </si>
  <si>
    <t>صدقة مؤيد</t>
  </si>
  <si>
    <t>عملية القسطرة لأبوي</t>
  </si>
  <si>
    <t>تصليح السيارة</t>
  </si>
  <si>
    <t>الراجحي</t>
  </si>
  <si>
    <t>تأخير جيم ناشن</t>
  </si>
  <si>
    <t>تأخير شات جبت</t>
  </si>
  <si>
    <t>إجمالي التحويل المتأخر لتكمو</t>
  </si>
  <si>
    <t>تصليح الكامري</t>
  </si>
  <si>
    <t>قسط الجامعة 2- الفصل 1</t>
  </si>
  <si>
    <t>كفر الأودي الأمامي</t>
  </si>
  <si>
    <t>تحويلمتأخر لتكمو</t>
  </si>
  <si>
    <t>ذهب</t>
  </si>
  <si>
    <t>سفرة مصر</t>
  </si>
  <si>
    <t>بونص</t>
  </si>
  <si>
    <t>تذكرة</t>
  </si>
  <si>
    <t>نقل بيانات جواز منى</t>
  </si>
  <si>
    <t>دفعة 1 تذكرة الذهاب (2000)</t>
  </si>
  <si>
    <t>دفعة 1 تذكرة العودة (1212)</t>
  </si>
  <si>
    <t>حجز فندق 3 أيام</t>
  </si>
  <si>
    <t>مخالفات</t>
  </si>
  <si>
    <t>تأشيرة منى</t>
  </si>
  <si>
    <t>غير معروف</t>
  </si>
  <si>
    <t>حجز فندق ١ يوم</t>
  </si>
  <si>
    <t>جنيهات</t>
  </si>
  <si>
    <t>نثريات سفر</t>
  </si>
  <si>
    <t>أقساط</t>
  </si>
  <si>
    <t>البيان</t>
  </si>
  <si>
    <t>القسط</t>
  </si>
  <si>
    <t>شهر الشراء</t>
  </si>
  <si>
    <t>المدفوع</t>
  </si>
  <si>
    <t>تذكرة ذهاب مصر</t>
  </si>
  <si>
    <t>تذكرة عودة مصر</t>
  </si>
  <si>
    <t>إيجار شقة 19 يوم</t>
  </si>
  <si>
    <t>الجهة</t>
  </si>
  <si>
    <t>تابي</t>
  </si>
  <si>
    <t>فرق تذكرة العودة</t>
  </si>
  <si>
    <t>مصاريف</t>
  </si>
  <si>
    <t>رسوم الفحص</t>
  </si>
  <si>
    <t>اسكندرية</t>
  </si>
  <si>
    <t>العملية  4,951 تم تقسيطها</t>
  </si>
  <si>
    <t>دفعات مقسطة</t>
  </si>
  <si>
    <t>month 9st</t>
  </si>
  <si>
    <t>توضيب جير الكامري</t>
  </si>
  <si>
    <t>قسط الجامعة صيفي 1</t>
  </si>
  <si>
    <t>تأمين تجديد الاقامة</t>
  </si>
  <si>
    <t>جهاز غبار لأمي</t>
  </si>
  <si>
    <t>أقساط (يونيو)</t>
  </si>
  <si>
    <t>السيولة الحرة</t>
  </si>
  <si>
    <t>تحليل الجينات</t>
  </si>
  <si>
    <t>إقفال قسط</t>
  </si>
  <si>
    <t>مصروف</t>
  </si>
  <si>
    <t>مساج</t>
  </si>
  <si>
    <t>علاج أمي</t>
  </si>
  <si>
    <t>قسط الفصل الاول - 1</t>
  </si>
  <si>
    <t>محمد طاهر</t>
  </si>
  <si>
    <t>مخالفة</t>
  </si>
  <si>
    <t>مصاريف عرس اسامة لأمي</t>
  </si>
  <si>
    <t>الرصيد الحالي بتاريخ 26 يونيو</t>
  </si>
  <si>
    <t>مصاريف عرس اسامة لمنى</t>
  </si>
  <si>
    <t>ادوية</t>
  </si>
  <si>
    <t>حلاقة</t>
  </si>
  <si>
    <t>زجاج السيارة</t>
  </si>
  <si>
    <t>ساند جوال</t>
  </si>
  <si>
    <t>شرابات</t>
  </si>
  <si>
    <t>طلعة السبت</t>
  </si>
  <si>
    <t>عطر دخون</t>
  </si>
  <si>
    <t>عزومة ريان</t>
  </si>
  <si>
    <t>غدا السبت</t>
  </si>
  <si>
    <t>موية المنهل</t>
  </si>
  <si>
    <t>كلاود</t>
  </si>
  <si>
    <t>فرشة</t>
  </si>
  <si>
    <t>قسط الفصل الاول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</si>
</sst>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.0_);_(* \(#,##0.0\);_(* &quot;-&quot;??_);_(@_)"/>
    <numFmt numFmtId="166" formatCode="[$-2000401]0"/>
    <numFmt numFmtId="167" formatCode="_(* #,##0_);_(* \(#,##0\);_(* &quot;-&quot;??_);_(@_)"/>
    <numFmt numFmtId="168" formatCode="_(* #,##0.0_);_(* \(#,##0.0\);_(* &quot;-&quot;?_);_(@_)"/>
  </numFmts>
  <fonts count="5" x14ac:knownFonts="1">
    <font>
      <sz val="12"/>
      <color theme="1"/>
      <name val="Aptos Narrow"/>
      <family val="2"/>
      <scheme val="minor"/>
    </font>
    <font>
      <sz val="16"/>
      <color rgb="FF000000"/>
      <name val="Lucida Grande"/>
      <family val="2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0" applyFont="1"/>
    <xf numFmtId="0" fontId="3" fillId="2" borderId="0" xfId="0" applyFont="1" applyFill="1"/>
    <xf numFmtId="3" fontId="3" fillId="0" borderId="0" xfId="0" applyNumberFormat="1" applyFont="1"/>
    <xf numFmtId="165" fontId="3" fillId="0" borderId="0" xfId="1" applyNumberFormat="1" applyFont="1"/>
    <xf numFmtId="0" fontId="3" fillId="0" borderId="1" xfId="0" applyFont="1" applyBorder="1"/>
    <xf numFmtId="0" fontId="3" fillId="0" borderId="2" xfId="0" applyFont="1" applyBorder="1"/>
    <xf numFmtId="0" fontId="3" fillId="2" borderId="2" xfId="0" applyFont="1" applyFill="1" applyBorder="1"/>
    <xf numFmtId="166" fontId="3" fillId="0" borderId="0" xfId="0" applyNumberFormat="1" applyFont="1"/>
    <xf numFmtId="167" fontId="3" fillId="0" borderId="0" xfId="1" applyNumberFormat="1" applyFont="1"/>
    <xf numFmtId="168" fontId="0" fillId="0" borderId="0" xfId="0" applyNumberFormat="1"/>
    <xf numFmtId="0" fontId="3" fillId="0" borderId="0" xfId="0" applyFont="1" applyAlignment="1">
      <alignment wrapText="1"/>
    </xf>
    <xf numFmtId="0" fontId="3" fillId="3" borderId="0" xfId="0" applyFont="1" applyFill="1"/>
    <xf numFmtId="0" fontId="3" fillId="4" borderId="0" xfId="0" applyFont="1" applyFill="1"/>
    <xf numFmtId="0" fontId="4" fillId="0" borderId="0" xfId="0" applyFont="1"/>
    <xf numFmtId="3" fontId="0" fillId="0" borderId="0" xfId="0" applyNumberFormat="1"/>
    <xf numFmtId="0" fontId="3" fillId="5" borderId="0" xfId="0" applyFont="1" applyFill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52D6-F91F-A540-B517-60C5A16A2B32}">
  <dimension ref="A1:AF47"/>
  <sheetViews>
    <sheetView rightToLeft="1" workbookViewId="0">
      <selection activeCell="D25" sqref="D25"/>
    </sheetView>
  </sheetViews>
  <sheetFormatPr baseColWidth="10" defaultRowHeight="22" x14ac:dyDescent="0.3"/>
  <cols>
    <col min="1" max="1" width="15.33203125" style="3" bestFit="1" customWidth="1"/>
    <col min="2" max="2" width="6.5" style="3" bestFit="1" customWidth="1"/>
    <col min="3" max="3" width="0.6640625" customWidth="1"/>
    <col min="4" max="4" width="20.83203125" style="3" bestFit="1" customWidth="1"/>
    <col min="5" max="5" width="10.83203125" style="3" bestFit="1" customWidth="1"/>
    <col min="6" max="6" width="14.1640625" style="3" bestFit="1" customWidth="1"/>
    <col min="7" max="7" width="10.83203125" style="3" bestFit="1" customWidth="1"/>
    <col min="8" max="8" width="14.1640625" style="3" bestFit="1" customWidth="1"/>
    <col min="9" max="9" width="1.1640625" customWidth="1"/>
    <col min="10" max="10" width="18.33203125" style="3" bestFit="1" customWidth="1"/>
    <col min="11" max="11" width="6.5" style="3" bestFit="1" customWidth="1"/>
    <col min="12" max="12" width="6.33203125" style="3" bestFit="1" customWidth="1"/>
    <col min="13" max="13" width="7.5" style="3" bestFit="1" customWidth="1"/>
    <col min="14" max="14" width="7.6640625" style="3" bestFit="1" customWidth="1"/>
    <col min="15" max="15" width="7.5" style="3" bestFit="1" customWidth="1"/>
    <col min="16" max="16" width="14.1640625" style="3" bestFit="1" customWidth="1"/>
    <col min="17" max="17" width="7.83203125" style="3" bestFit="1" customWidth="1"/>
    <col min="18" max="18" width="0.6640625" customWidth="1"/>
    <col min="19" max="19" width="18.33203125" style="3" bestFit="1" customWidth="1"/>
    <col min="20" max="20" width="6.5" style="3" bestFit="1" customWidth="1"/>
    <col min="21" max="21" width="0.6640625" customWidth="1"/>
    <col min="22" max="22" width="21.33203125" style="3" customWidth="1"/>
    <col min="23" max="23" width="24.1640625" style="3" customWidth="1"/>
    <col min="24" max="24" width="0.6640625" customWidth="1"/>
    <col min="25" max="25" width="23.6640625" style="3" bestFit="1" customWidth="1"/>
    <col min="26" max="26" width="7.33203125" style="3" bestFit="1" customWidth="1"/>
    <col min="27" max="27" width="7.83203125" style="3" bestFit="1" customWidth="1"/>
    <col min="28" max="28" width="0.5" customWidth="1"/>
    <col min="29" max="29" width="17" style="3" customWidth="1"/>
    <col min="30" max="30" width="7.33203125" style="3" bestFit="1" customWidth="1"/>
    <col min="31" max="31" width="16.33203125" style="3" customWidth="1"/>
    <col min="32" max="32" width="9.1640625" style="3" customWidth="1"/>
    <col min="33" max="16384" width="10.83203125" style="3"/>
  </cols>
  <sheetData>
    <row r="1" spans="1:32" x14ac:dyDescent="0.3">
      <c r="A1" s="3" t="s">
        <v>50</v>
      </c>
      <c r="C1" s="4"/>
      <c r="D1" s="3" t="s">
        <v>18</v>
      </c>
      <c r="E1" s="20" t="s">
        <v>71</v>
      </c>
      <c r="F1" s="20"/>
      <c r="G1" s="20" t="s">
        <v>70</v>
      </c>
      <c r="H1" s="20"/>
      <c r="I1" s="4"/>
      <c r="J1" s="3" t="s">
        <v>17</v>
      </c>
      <c r="R1" s="4"/>
      <c r="S1" s="3" t="s">
        <v>61</v>
      </c>
      <c r="U1" s="4"/>
      <c r="V1" s="3" t="s">
        <v>44</v>
      </c>
      <c r="X1" s="4"/>
      <c r="Y1" s="3" t="s">
        <v>91</v>
      </c>
      <c r="AB1" s="4"/>
      <c r="AC1" s="3" t="s">
        <v>81</v>
      </c>
    </row>
    <row r="2" spans="1:32" x14ac:dyDescent="0.3">
      <c r="A2" s="3">
        <v>26977</v>
      </c>
      <c r="C2" s="4"/>
      <c r="E2" s="3" t="s">
        <v>59</v>
      </c>
      <c r="F2" s="3" t="s">
        <v>58</v>
      </c>
      <c r="G2" s="3" t="s">
        <v>59</v>
      </c>
      <c r="H2" s="3" t="s">
        <v>58</v>
      </c>
      <c r="I2" s="4"/>
      <c r="J2" s="3" t="s">
        <v>2</v>
      </c>
      <c r="O2" s="3">
        <f>SUM(O7:O26)</f>
        <v>3694</v>
      </c>
      <c r="R2" s="4"/>
      <c r="S2" s="3" t="s">
        <v>2</v>
      </c>
      <c r="T2" s="3">
        <f>SUM(T7:T16)</f>
        <v>0</v>
      </c>
      <c r="U2" s="4"/>
      <c r="V2" s="3" t="s">
        <v>2</v>
      </c>
      <c r="W2" s="3">
        <f>SUM(W7:W16)</f>
        <v>13819</v>
      </c>
      <c r="X2" s="4"/>
      <c r="Y2" s="3" t="s">
        <v>2</v>
      </c>
      <c r="AA2" s="3">
        <f>SUM(AA7:AA35)</f>
        <v>26738</v>
      </c>
      <c r="AB2" s="4"/>
      <c r="AC2" s="3" t="s">
        <v>2</v>
      </c>
      <c r="AD2" s="3">
        <f>SUM(AD7:AD21)</f>
        <v>2167</v>
      </c>
    </row>
    <row r="3" spans="1:32" x14ac:dyDescent="0.3">
      <c r="A3" s="3">
        <f>A2-SUM(B7:B18)</f>
        <v>0</v>
      </c>
      <c r="C3" s="4"/>
      <c r="D3" s="3" t="s">
        <v>2</v>
      </c>
      <c r="E3" s="3">
        <f>SUM(E7:E28)</f>
        <v>1919</v>
      </c>
      <c r="F3" s="3">
        <f>SUM(F7:F28)</f>
        <v>3880</v>
      </c>
      <c r="G3" s="3">
        <f>SUM(G7:G28)</f>
        <v>0</v>
      </c>
      <c r="H3" s="3">
        <f>SUM(H7:H29)</f>
        <v>4187</v>
      </c>
      <c r="I3" s="4"/>
      <c r="R3" s="4"/>
      <c r="S3" s="3">
        <f>29000</f>
        <v>29000</v>
      </c>
      <c r="U3" s="4"/>
      <c r="X3" s="4"/>
      <c r="AB3" s="4"/>
      <c r="AC3" s="3" t="s">
        <v>20</v>
      </c>
      <c r="AD3" s="3">
        <f>AA21-AD2</f>
        <v>-80</v>
      </c>
    </row>
    <row r="4" spans="1:32" x14ac:dyDescent="0.3">
      <c r="C4" s="4"/>
      <c r="D4" s="3" t="s">
        <v>60</v>
      </c>
      <c r="E4" s="3">
        <f>B11</f>
        <v>5600</v>
      </c>
      <c r="F4" s="3">
        <f>B15</f>
        <v>9027</v>
      </c>
      <c r="G4" s="3">
        <f>E5</f>
        <v>-13</v>
      </c>
      <c r="H4" s="3">
        <f>F5</f>
        <v>5147</v>
      </c>
      <c r="I4" s="4"/>
      <c r="R4" s="4"/>
      <c r="S4" s="5"/>
      <c r="U4" s="4"/>
      <c r="X4" s="4"/>
      <c r="AB4" s="4"/>
    </row>
    <row r="5" spans="1:32" ht="23" thickBot="1" x14ac:dyDescent="0.35">
      <c r="C5" s="4"/>
      <c r="D5" s="3" t="s">
        <v>20</v>
      </c>
      <c r="E5" s="3">
        <f>E4-O2-E3</f>
        <v>-13</v>
      </c>
      <c r="F5" s="3">
        <f>F4-F3</f>
        <v>5147</v>
      </c>
      <c r="G5" s="3">
        <f>G4-G3</f>
        <v>-13</v>
      </c>
      <c r="H5" s="3">
        <f>H4-H3</f>
        <v>960</v>
      </c>
      <c r="I5" s="4"/>
      <c r="R5" s="4"/>
      <c r="U5" s="4"/>
      <c r="X5" s="4"/>
      <c r="AB5" s="4"/>
    </row>
    <row r="6" spans="1:32" s="8" customFormat="1" ht="23" thickBot="1" x14ac:dyDescent="0.35">
      <c r="A6" s="7"/>
      <c r="C6" s="9"/>
      <c r="I6" s="9"/>
      <c r="K6" s="8" t="s">
        <v>74</v>
      </c>
      <c r="L6" s="8" t="s">
        <v>75</v>
      </c>
      <c r="M6" s="8" t="s">
        <v>101</v>
      </c>
      <c r="N6" s="8" t="s">
        <v>57</v>
      </c>
      <c r="O6" s="8" t="s">
        <v>2</v>
      </c>
      <c r="P6" s="19" t="s">
        <v>54</v>
      </c>
      <c r="Q6" s="19"/>
      <c r="R6" s="9"/>
      <c r="U6" s="9"/>
      <c r="X6" s="9"/>
      <c r="AB6" s="9"/>
    </row>
    <row r="7" spans="1:32" x14ac:dyDescent="0.3">
      <c r="A7" s="1" t="s">
        <v>62</v>
      </c>
      <c r="B7" s="3">
        <v>800</v>
      </c>
      <c r="C7" s="4"/>
      <c r="D7" s="3" t="s">
        <v>156</v>
      </c>
      <c r="F7" s="3">
        <f>1703-500</f>
        <v>1203</v>
      </c>
      <c r="I7" s="4"/>
      <c r="J7" s="3" t="s">
        <v>0</v>
      </c>
      <c r="M7" s="3">
        <f>SUM(N7:O7)</f>
        <v>1022</v>
      </c>
      <c r="O7" s="3">
        <f>SUM(P7:Q7)</f>
        <v>1022</v>
      </c>
      <c r="P7" s="3">
        <v>723</v>
      </c>
      <c r="Q7" s="3">
        <v>299</v>
      </c>
      <c r="R7" s="4"/>
      <c r="U7" s="4"/>
      <c r="V7" s="3" t="s">
        <v>45</v>
      </c>
      <c r="W7" s="3">
        <f>B13</f>
        <v>3050</v>
      </c>
      <c r="X7" s="4"/>
      <c r="Y7" s="1" t="s">
        <v>62</v>
      </c>
      <c r="Z7" s="3">
        <v>800</v>
      </c>
      <c r="AB7" s="4"/>
      <c r="AC7" s="3" t="s">
        <v>78</v>
      </c>
      <c r="AD7" s="15">
        <v>1580</v>
      </c>
      <c r="AE7" s="3" t="s">
        <v>85</v>
      </c>
      <c r="AF7" s="10"/>
    </row>
    <row r="8" spans="1:32" x14ac:dyDescent="0.3">
      <c r="A8" s="1" t="s">
        <v>63</v>
      </c>
      <c r="B8" s="3">
        <v>3000</v>
      </c>
      <c r="C8" s="4"/>
      <c r="D8" s="3" t="s">
        <v>157</v>
      </c>
      <c r="F8" s="3">
        <v>586</v>
      </c>
      <c r="I8" s="4"/>
      <c r="J8" s="3" t="s">
        <v>1</v>
      </c>
      <c r="M8" s="3">
        <f>O8-75</f>
        <v>500</v>
      </c>
      <c r="O8" s="3">
        <f>SUM(P8:Q8)</f>
        <v>575</v>
      </c>
      <c r="P8" s="3">
        <v>287.5</v>
      </c>
      <c r="Q8" s="3">
        <v>287.5</v>
      </c>
      <c r="R8" s="4"/>
      <c r="U8" s="4"/>
      <c r="V8" s="3" t="s">
        <v>47</v>
      </c>
      <c r="W8" s="3">
        <f>الأرصدة!L3</f>
        <v>0</v>
      </c>
      <c r="X8" s="4"/>
      <c r="Y8" s="1" t="s">
        <v>64</v>
      </c>
      <c r="Z8" s="3">
        <v>1500</v>
      </c>
      <c r="AB8" s="4"/>
      <c r="AC8" s="3" t="s">
        <v>123</v>
      </c>
      <c r="AD8" s="15"/>
      <c r="AE8" s="3" t="s">
        <v>84</v>
      </c>
    </row>
    <row r="9" spans="1:32" x14ac:dyDescent="0.3">
      <c r="A9" s="1" t="s">
        <v>64</v>
      </c>
      <c r="B9" s="3">
        <v>1500</v>
      </c>
      <c r="C9" s="4"/>
      <c r="D9" s="3" t="s">
        <v>158</v>
      </c>
      <c r="E9" s="3">
        <v>140</v>
      </c>
      <c r="I9" s="4"/>
      <c r="J9" s="3" t="s">
        <v>3</v>
      </c>
      <c r="M9" s="3">
        <v>115</v>
      </c>
      <c r="O9" s="3">
        <f t="shared" ref="O9:O16" si="0">SUM(K9:N9)</f>
        <v>115</v>
      </c>
      <c r="R9" s="4"/>
      <c r="U9" s="4"/>
      <c r="V9" s="3" t="s">
        <v>52</v>
      </c>
      <c r="W9" s="3">
        <f>H5</f>
        <v>960</v>
      </c>
      <c r="X9" s="4"/>
      <c r="Y9" s="3" t="s">
        <v>72</v>
      </c>
      <c r="AA9" s="18">
        <f>SUM(Z7:Z8)</f>
        <v>2300</v>
      </c>
      <c r="AB9" s="4"/>
      <c r="AC9" s="3" t="s">
        <v>3</v>
      </c>
      <c r="AD9" s="15">
        <v>80</v>
      </c>
      <c r="AE9" s="3" t="s">
        <v>83</v>
      </c>
    </row>
    <row r="10" spans="1:32" x14ac:dyDescent="0.3">
      <c r="A10" s="1" t="s">
        <v>65</v>
      </c>
      <c r="B10" s="3">
        <v>2000</v>
      </c>
      <c r="C10" s="4"/>
      <c r="D10" s="3" t="s">
        <v>159</v>
      </c>
      <c r="F10" s="3">
        <v>100</v>
      </c>
      <c r="I10" s="4"/>
      <c r="J10" s="3" t="s">
        <v>4</v>
      </c>
      <c r="K10" s="3">
        <v>80</v>
      </c>
      <c r="O10" s="3">
        <f t="shared" si="0"/>
        <v>80</v>
      </c>
      <c r="R10" s="4"/>
      <c r="U10" s="4"/>
      <c r="V10" s="3" t="s">
        <v>53</v>
      </c>
      <c r="W10" s="3">
        <v>0</v>
      </c>
      <c r="X10" s="4"/>
      <c r="AB10" s="4"/>
      <c r="AC10" s="3" t="s">
        <v>5</v>
      </c>
      <c r="AD10" s="3">
        <v>80</v>
      </c>
      <c r="AE10" s="3" t="s">
        <v>82</v>
      </c>
    </row>
    <row r="11" spans="1:32" x14ac:dyDescent="0.3">
      <c r="A11" s="1" t="s">
        <v>66</v>
      </c>
      <c r="B11" s="3">
        <v>5600</v>
      </c>
      <c r="C11" s="4"/>
      <c r="D11" s="3" t="s">
        <v>160</v>
      </c>
      <c r="F11" s="3">
        <v>70</v>
      </c>
      <c r="I11" s="4"/>
      <c r="J11" s="3" t="s">
        <v>5</v>
      </c>
      <c r="K11" s="3">
        <v>80</v>
      </c>
      <c r="O11" s="3">
        <f t="shared" si="0"/>
        <v>80</v>
      </c>
      <c r="R11" s="4"/>
      <c r="U11" s="4"/>
      <c r="V11" s="3" t="s">
        <v>55</v>
      </c>
      <c r="W11" s="3">
        <f>J32</f>
        <v>9809</v>
      </c>
      <c r="X11" s="4"/>
      <c r="Y11" s="1" t="s">
        <v>63</v>
      </c>
      <c r="AA11" s="18">
        <v>3000</v>
      </c>
      <c r="AB11" s="4"/>
      <c r="AC11" s="3" t="s">
        <v>73</v>
      </c>
      <c r="AD11" s="15">
        <v>120</v>
      </c>
      <c r="AE11" s="3" t="s">
        <v>86</v>
      </c>
    </row>
    <row r="12" spans="1:32" x14ac:dyDescent="0.3">
      <c r="A12" s="1" t="s">
        <v>67</v>
      </c>
      <c r="B12" s="3">
        <v>1000</v>
      </c>
      <c r="C12" s="4"/>
      <c r="D12" s="3" t="s">
        <v>161</v>
      </c>
      <c r="E12" s="3">
        <v>100</v>
      </c>
      <c r="I12" s="4"/>
      <c r="J12" s="3" t="s">
        <v>73</v>
      </c>
      <c r="K12" s="3">
        <v>120</v>
      </c>
      <c r="O12" s="3">
        <f t="shared" si="0"/>
        <v>120</v>
      </c>
      <c r="R12" s="4"/>
      <c r="U12" s="4"/>
      <c r="X12" s="4"/>
      <c r="AB12" s="4"/>
      <c r="AC12" s="3" t="s">
        <v>11</v>
      </c>
      <c r="AD12" s="15">
        <v>77</v>
      </c>
      <c r="AE12" s="3" t="s">
        <v>139</v>
      </c>
    </row>
    <row r="13" spans="1:32" x14ac:dyDescent="0.3">
      <c r="A13" s="1" t="s">
        <v>24</v>
      </c>
      <c r="B13" s="3">
        <v>3050</v>
      </c>
      <c r="C13" s="4"/>
      <c r="D13" s="3" t="s">
        <v>162</v>
      </c>
      <c r="F13" s="3">
        <v>200</v>
      </c>
      <c r="I13" s="4"/>
      <c r="J13" s="3" t="s">
        <v>6</v>
      </c>
      <c r="L13" s="3">
        <v>400</v>
      </c>
      <c r="O13" s="3">
        <f t="shared" si="0"/>
        <v>400</v>
      </c>
      <c r="R13" s="4"/>
      <c r="U13" s="4"/>
      <c r="X13" s="4"/>
      <c r="Y13" s="1" t="s">
        <v>68</v>
      </c>
      <c r="AA13" s="18">
        <v>1000</v>
      </c>
      <c r="AB13" s="4"/>
      <c r="AC13" s="3" t="s">
        <v>14</v>
      </c>
      <c r="AD13" s="15">
        <v>150</v>
      </c>
      <c r="AE13" s="3" t="s">
        <v>87</v>
      </c>
    </row>
    <row r="14" spans="1:32" x14ac:dyDescent="0.3">
      <c r="A14" s="1" t="s">
        <v>68</v>
      </c>
      <c r="B14" s="3">
        <v>1000</v>
      </c>
      <c r="C14" s="4"/>
      <c r="D14" s="3" t="s">
        <v>163</v>
      </c>
      <c r="F14" s="3">
        <v>326</v>
      </c>
      <c r="I14" s="4"/>
      <c r="J14" s="3" t="s">
        <v>7</v>
      </c>
      <c r="L14" s="3">
        <v>120</v>
      </c>
      <c r="O14" s="3">
        <f t="shared" si="0"/>
        <v>120</v>
      </c>
      <c r="R14" s="4"/>
      <c r="U14" s="4"/>
      <c r="X14" s="4"/>
      <c r="AB14" s="4"/>
      <c r="AC14" s="3" t="s">
        <v>167</v>
      </c>
      <c r="AD14" s="3">
        <v>80</v>
      </c>
    </row>
    <row r="15" spans="1:32" x14ac:dyDescent="0.3">
      <c r="A15" s="1" t="s">
        <v>69</v>
      </c>
      <c r="B15" s="3">
        <v>9027</v>
      </c>
      <c r="C15" s="4"/>
      <c r="D15" s="3" t="s">
        <v>164</v>
      </c>
      <c r="F15" s="3">
        <v>200</v>
      </c>
      <c r="I15" s="4"/>
      <c r="J15" s="3" t="s">
        <v>8</v>
      </c>
      <c r="K15" s="3">
        <v>300</v>
      </c>
      <c r="O15" s="3">
        <f t="shared" si="0"/>
        <v>300</v>
      </c>
      <c r="R15" s="4"/>
      <c r="U15" s="4"/>
      <c r="X15" s="4"/>
      <c r="Y15" s="3" t="s">
        <v>76</v>
      </c>
      <c r="Z15" s="3">
        <f>K27</f>
        <v>1087</v>
      </c>
      <c r="AB15" s="4"/>
    </row>
    <row r="16" spans="1:32" x14ac:dyDescent="0.3">
      <c r="B16" s="10"/>
      <c r="C16" s="4"/>
      <c r="D16" s="3" t="s">
        <v>165</v>
      </c>
      <c r="F16" s="3">
        <v>239</v>
      </c>
      <c r="I16" s="4"/>
      <c r="J16" s="3" t="s">
        <v>9</v>
      </c>
      <c r="N16" s="3">
        <v>0</v>
      </c>
      <c r="O16" s="3">
        <f t="shared" si="0"/>
        <v>0</v>
      </c>
      <c r="R16" s="4"/>
      <c r="U16" s="4"/>
      <c r="X16" s="4"/>
      <c r="Y16" s="3" t="s">
        <v>77</v>
      </c>
      <c r="Z16" s="3">
        <v>1000</v>
      </c>
      <c r="AB16" s="4"/>
    </row>
    <row r="17" spans="3:28" x14ac:dyDescent="0.3">
      <c r="C17" s="4"/>
      <c r="D17" s="3" t="s">
        <v>153</v>
      </c>
      <c r="F17" s="3">
        <v>75</v>
      </c>
      <c r="I17" s="4"/>
      <c r="J17" s="14" t="s">
        <v>11</v>
      </c>
      <c r="K17" s="3">
        <v>77</v>
      </c>
      <c r="O17" s="3">
        <f t="shared" ref="O17:O23" si="1">SUM(K17:N17)</f>
        <v>77</v>
      </c>
      <c r="R17" s="4"/>
      <c r="U17" s="4"/>
      <c r="X17" s="4"/>
      <c r="Y17" s="3" t="s">
        <v>65</v>
      </c>
      <c r="Z17" s="3">
        <v>0</v>
      </c>
      <c r="AB17" s="4"/>
    </row>
    <row r="18" spans="3:28" x14ac:dyDescent="0.3">
      <c r="C18" s="4"/>
      <c r="D18" s="3" t="s">
        <v>149</v>
      </c>
      <c r="F18" s="3">
        <v>555</v>
      </c>
      <c r="I18" s="4"/>
      <c r="J18" s="3" t="s">
        <v>12</v>
      </c>
      <c r="L18" s="3">
        <v>300</v>
      </c>
      <c r="O18" s="3">
        <f t="shared" si="1"/>
        <v>300</v>
      </c>
      <c r="R18" s="4"/>
      <c r="U18" s="4"/>
      <c r="X18" s="4"/>
      <c r="Y18" s="3" t="s">
        <v>102</v>
      </c>
      <c r="AB18" s="4"/>
    </row>
    <row r="19" spans="3:28" x14ac:dyDescent="0.3">
      <c r="C19" s="4"/>
      <c r="D19" s="3" t="s">
        <v>148</v>
      </c>
      <c r="E19" s="3">
        <v>1679</v>
      </c>
      <c r="I19" s="4"/>
      <c r="J19" s="3" t="s">
        <v>13</v>
      </c>
      <c r="K19" s="3">
        <v>200</v>
      </c>
      <c r="O19" s="3">
        <f t="shared" si="1"/>
        <v>200</v>
      </c>
      <c r="R19" s="4"/>
      <c r="U19" s="4"/>
      <c r="X19" s="4"/>
      <c r="Y19" s="3" t="s">
        <v>103</v>
      </c>
      <c r="AB19" s="4"/>
    </row>
    <row r="20" spans="3:28" x14ac:dyDescent="0.3">
      <c r="C20" s="4"/>
      <c r="D20" s="3" t="s">
        <v>166</v>
      </c>
      <c r="F20" s="3">
        <v>230</v>
      </c>
      <c r="I20" s="4"/>
      <c r="J20" s="14" t="s">
        <v>14</v>
      </c>
      <c r="K20" s="3">
        <v>150</v>
      </c>
      <c r="O20" s="3">
        <f t="shared" si="1"/>
        <v>150</v>
      </c>
      <c r="R20" s="4"/>
      <c r="U20" s="4"/>
      <c r="X20" s="4"/>
      <c r="Y20" s="3" t="s">
        <v>147</v>
      </c>
      <c r="Z20" s="3">
        <v>0</v>
      </c>
      <c r="AB20" s="4"/>
    </row>
    <row r="21" spans="3:28" x14ac:dyDescent="0.3">
      <c r="C21" s="4"/>
      <c r="D21" s="3" t="s">
        <v>168</v>
      </c>
      <c r="F21" s="3">
        <v>96</v>
      </c>
      <c r="I21" s="4"/>
      <c r="J21" s="3" t="s">
        <v>15</v>
      </c>
      <c r="K21" s="3">
        <v>80</v>
      </c>
      <c r="O21" s="3">
        <f t="shared" si="1"/>
        <v>80</v>
      </c>
      <c r="R21" s="4"/>
      <c r="U21" s="4"/>
      <c r="X21" s="4"/>
      <c r="Y21" s="3" t="s">
        <v>79</v>
      </c>
      <c r="AA21" s="18">
        <f>SUM(Z15:Z20)</f>
        <v>2087</v>
      </c>
      <c r="AB21" s="4"/>
    </row>
    <row r="22" spans="3:28" x14ac:dyDescent="0.3">
      <c r="C22" s="4"/>
      <c r="I22" s="4"/>
      <c r="J22" s="3" t="s">
        <v>16</v>
      </c>
      <c r="M22" s="3">
        <v>75</v>
      </c>
      <c r="O22" s="3">
        <f t="shared" si="1"/>
        <v>75</v>
      </c>
      <c r="R22" s="4"/>
      <c r="U22" s="4"/>
      <c r="X22" s="4"/>
      <c r="AB22" s="4"/>
    </row>
    <row r="23" spans="3:28" x14ac:dyDescent="0.3">
      <c r="C23" s="4"/>
      <c r="D23" s="3" t="s">
        <v>51</v>
      </c>
      <c r="H23" s="3">
        <v>2000</v>
      </c>
      <c r="I23" s="4"/>
      <c r="J23" s="3" t="s">
        <v>144</v>
      </c>
      <c r="K23" s="16">
        <f>(الأرصدة!AA2)</f>
        <v>0</v>
      </c>
      <c r="O23" s="3">
        <f t="shared" si="1"/>
        <v>0</v>
      </c>
      <c r="R23" s="4"/>
      <c r="U23" s="4"/>
      <c r="X23" s="4"/>
      <c r="Y23" s="3" t="s">
        <v>80</v>
      </c>
      <c r="AA23" s="18">
        <f>L27</f>
        <v>820</v>
      </c>
      <c r="AB23" s="4"/>
    </row>
    <row r="24" spans="3:28" x14ac:dyDescent="0.3">
      <c r="C24" s="4"/>
      <c r="D24" s="3" t="s">
        <v>169</v>
      </c>
      <c r="H24" s="3">
        <v>2187</v>
      </c>
      <c r="I24" s="4"/>
      <c r="R24" s="4"/>
      <c r="U24" s="4"/>
      <c r="X24" s="4"/>
      <c r="AB24" s="4"/>
    </row>
    <row r="25" spans="3:28" x14ac:dyDescent="0.3">
      <c r="C25" s="4"/>
      <c r="I25" s="4"/>
      <c r="R25" s="4"/>
      <c r="U25" s="4"/>
      <c r="X25" s="4"/>
      <c r="Y25" s="3" t="s">
        <v>88</v>
      </c>
      <c r="AA25" s="18">
        <v>2000</v>
      </c>
      <c r="AB25" s="4"/>
    </row>
    <row r="26" spans="3:28" x14ac:dyDescent="0.3">
      <c r="C26" s="3"/>
      <c r="I26" s="3"/>
      <c r="R26" s="3"/>
      <c r="U26" s="3"/>
      <c r="X26" s="3"/>
      <c r="AB26" s="3"/>
    </row>
    <row r="27" spans="3:28" x14ac:dyDescent="0.3">
      <c r="C27" s="3"/>
      <c r="I27" s="3"/>
      <c r="J27" s="3" t="s">
        <v>2</v>
      </c>
      <c r="K27" s="3">
        <f>SUM(K7:K26)</f>
        <v>1087</v>
      </c>
      <c r="L27" s="3">
        <f>SUM(L7:L25)</f>
        <v>820</v>
      </c>
      <c r="M27" s="3">
        <f>SUM(M7:M25)</f>
        <v>1712</v>
      </c>
      <c r="N27" s="3">
        <f>SUM(N7:N25)</f>
        <v>0</v>
      </c>
      <c r="R27" s="3"/>
      <c r="U27" s="3"/>
      <c r="X27" s="3"/>
      <c r="Y27" s="3" t="s">
        <v>89</v>
      </c>
      <c r="AA27" s="3">
        <f>T2</f>
        <v>0</v>
      </c>
      <c r="AB27" s="3"/>
    </row>
    <row r="28" spans="3:28" x14ac:dyDescent="0.3">
      <c r="C28" s="3"/>
      <c r="I28" s="3"/>
      <c r="R28" s="3"/>
      <c r="U28" s="3"/>
      <c r="X28" s="3"/>
      <c r="AB28" s="3"/>
    </row>
    <row r="29" spans="3:28" x14ac:dyDescent="0.3">
      <c r="C29" s="3"/>
      <c r="I29" s="3"/>
      <c r="R29" s="3"/>
      <c r="U29" s="3"/>
      <c r="X29" s="3"/>
      <c r="Y29" s="3" t="s">
        <v>90</v>
      </c>
      <c r="AA29" s="18">
        <f>M27</f>
        <v>1712</v>
      </c>
      <c r="AB29" s="3"/>
    </row>
    <row r="30" spans="3:28" x14ac:dyDescent="0.3">
      <c r="C30" s="3"/>
      <c r="I30" s="3"/>
      <c r="R30" s="3"/>
      <c r="U30" s="3"/>
      <c r="X30" s="3"/>
      <c r="AB30" s="3"/>
    </row>
    <row r="31" spans="3:28" ht="46" x14ac:dyDescent="0.3">
      <c r="C31" s="3"/>
      <c r="D31" s="13" t="s">
        <v>155</v>
      </c>
      <c r="E31" s="3" t="s">
        <v>93</v>
      </c>
      <c r="I31" s="3"/>
      <c r="J31" s="3" t="s">
        <v>19</v>
      </c>
      <c r="O31" s="3" t="s">
        <v>56</v>
      </c>
      <c r="P31" s="3" t="s">
        <v>58</v>
      </c>
      <c r="Q31" s="3" t="s">
        <v>20</v>
      </c>
      <c r="R31" s="3"/>
      <c r="U31" s="3"/>
      <c r="X31" s="3"/>
      <c r="Y31" s="3" t="s">
        <v>92</v>
      </c>
      <c r="AA31" s="3">
        <f>W2</f>
        <v>13819</v>
      </c>
      <c r="AB31" s="3"/>
    </row>
    <row r="32" spans="3:28" x14ac:dyDescent="0.3">
      <c r="C32" s="3"/>
      <c r="D32" s="17">
        <v>10117</v>
      </c>
      <c r="E32" s="3" t="e">
        <f>D32+#REF!</f>
        <v>#REF!</v>
      </c>
      <c r="I32" s="3"/>
      <c r="J32" s="3">
        <f>الأرصدة!M29-'مصاريف الشهر'!D32</f>
        <v>9809</v>
      </c>
      <c r="O32" s="3">
        <f>E3</f>
        <v>1919</v>
      </c>
      <c r="P32" s="3">
        <f>F3</f>
        <v>3880</v>
      </c>
      <c r="Q32" s="3">
        <f>J32-SUM(O32:P32)</f>
        <v>4010</v>
      </c>
      <c r="R32" s="3"/>
      <c r="U32" s="3"/>
      <c r="X32" s="3"/>
      <c r="AB32" s="3"/>
    </row>
    <row r="33" spans="3:28" x14ac:dyDescent="0.3">
      <c r="J33" s="3" t="e">
        <f>J32-#REF!</f>
        <v>#REF!</v>
      </c>
      <c r="Y33" s="3" t="s">
        <v>95</v>
      </c>
    </row>
    <row r="34" spans="3:28" x14ac:dyDescent="0.3">
      <c r="Y34" s="3" t="s">
        <v>96</v>
      </c>
      <c r="Z34" s="3">
        <v>0</v>
      </c>
    </row>
    <row r="35" spans="3:28" x14ac:dyDescent="0.3">
      <c r="AA35" s="3">
        <f>SUM(Z34:Z34)</f>
        <v>0</v>
      </c>
    </row>
    <row r="36" spans="3:28" x14ac:dyDescent="0.3">
      <c r="Y36" s="4"/>
      <c r="Z36" s="4"/>
      <c r="AA36" s="4"/>
    </row>
    <row r="37" spans="3:28" x14ac:dyDescent="0.3">
      <c r="Y37" s="14"/>
    </row>
    <row r="38" spans="3:28" x14ac:dyDescent="0.3">
      <c r="Y38" s="14"/>
    </row>
    <row r="39" spans="3:28" ht="46" x14ac:dyDescent="0.3">
      <c r="Y39" s="13" t="s">
        <v>104</v>
      </c>
      <c r="AA39" s="3">
        <f>SUM(Z37:Z38)</f>
        <v>0</v>
      </c>
    </row>
    <row r="40" spans="3:28" x14ac:dyDescent="0.3">
      <c r="Y40" s="13"/>
    </row>
    <row r="41" spans="3:28" x14ac:dyDescent="0.3">
      <c r="C41" s="3"/>
      <c r="I41" s="3"/>
      <c r="R41" s="3"/>
      <c r="U41" s="3"/>
      <c r="X41" s="3"/>
      <c r="Y41" s="3" t="s">
        <v>65</v>
      </c>
      <c r="Z41" s="3">
        <v>2000</v>
      </c>
      <c r="AB41" s="3"/>
    </row>
    <row r="42" spans="3:28" x14ac:dyDescent="0.3">
      <c r="C42" s="3"/>
      <c r="I42" s="3"/>
      <c r="R42" s="3"/>
      <c r="U42" s="3"/>
      <c r="X42" s="3"/>
      <c r="Y42" s="3" t="s">
        <v>20</v>
      </c>
      <c r="Z42" s="3">
        <f>G5</f>
        <v>-13</v>
      </c>
      <c r="AB42" s="3"/>
    </row>
    <row r="43" spans="3:28" x14ac:dyDescent="0.3">
      <c r="C43" s="3"/>
      <c r="I43" s="3"/>
      <c r="R43" s="3"/>
      <c r="U43" s="3"/>
      <c r="X43" s="3"/>
      <c r="Y43" s="3" t="s">
        <v>96</v>
      </c>
      <c r="AB43" s="3"/>
    </row>
    <row r="44" spans="3:28" x14ac:dyDescent="0.3">
      <c r="C44" s="3"/>
      <c r="I44" s="3"/>
      <c r="R44" s="3"/>
      <c r="U44" s="3"/>
      <c r="X44" s="3"/>
      <c r="Y44" s="3" t="s">
        <v>108</v>
      </c>
      <c r="Z44" s="3">
        <f>AA39</f>
        <v>0</v>
      </c>
      <c r="AB44" s="3"/>
    </row>
    <row r="45" spans="3:28" x14ac:dyDescent="0.3">
      <c r="Y45" s="3" t="s">
        <v>94</v>
      </c>
      <c r="AA45" s="3">
        <f>SUM(Z41:Z44)</f>
        <v>1987</v>
      </c>
    </row>
    <row r="46" spans="3:28" x14ac:dyDescent="0.3">
      <c r="AA46" s="3">
        <f>60+AA45</f>
        <v>2047</v>
      </c>
    </row>
    <row r="47" spans="3:28" x14ac:dyDescent="0.3">
      <c r="AA47" s="3">
        <f>2121-AA46</f>
        <v>74</v>
      </c>
    </row>
  </sheetData>
  <mergeCells count="3">
    <mergeCell ref="P6:Q6"/>
    <mergeCell ref="E1:F1"/>
    <mergeCell ref="G1:H1"/>
  </mergeCells>
  <conditionalFormatting sqref="G5:H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ignoredErrors>
    <ignoredError sqref="F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345A-5E98-0C43-BBDD-1D2CC38375ED}">
  <dimension ref="A1:AH31"/>
  <sheetViews>
    <sheetView rightToLeft="1" tabSelected="1" zoomScale="90" zoomScaleNormal="90" workbookViewId="0"/>
  </sheetViews>
  <sheetFormatPr baseColWidth="10" defaultRowHeight="16" x14ac:dyDescent="0.2"/>
  <cols>
    <col min="1" max="1" width="14.83203125" bestFit="1" customWidth="1"/>
    <col min="2" max="2" width="0.5" customWidth="1"/>
    <col min="3" max="3" width="17.6640625" bestFit="1" customWidth="1"/>
    <col min="4" max="4" width="11" bestFit="1" customWidth="1"/>
    <col min="5" max="5" width="0.6640625" customWidth="1"/>
    <col min="6" max="6" width="13.5" bestFit="1" customWidth="1"/>
    <col min="7" max="7" width="7.6640625" bestFit="1" customWidth="1"/>
    <col min="8" max="8" width="0.6640625" customWidth="1"/>
    <col min="9" max="9" width="12" bestFit="1" customWidth="1"/>
    <col min="10" max="10" width="8.83203125" bestFit="1" customWidth="1"/>
    <col min="11" max="11" width="0.6640625" customWidth="1"/>
    <col min="12" max="12" width="13.5" bestFit="1" customWidth="1"/>
    <col min="13" max="13" width="13" bestFit="1" customWidth="1"/>
    <col min="14" max="14" width="0.6640625" customWidth="1"/>
    <col min="15" max="15" width="13.5" bestFit="1" customWidth="1"/>
    <col min="16" max="16" width="13.5" customWidth="1"/>
    <col min="17" max="17" width="11" customWidth="1"/>
    <col min="18" max="18" width="0.6640625" customWidth="1"/>
    <col min="19" max="19" width="11" customWidth="1"/>
    <col min="20" max="20" width="25.5" customWidth="1"/>
    <col min="21" max="21" width="10.1640625" customWidth="1"/>
    <col min="22" max="22" width="0.1640625" customWidth="1"/>
    <col min="23" max="23" width="10.83203125" customWidth="1"/>
    <col min="24" max="24" width="28.83203125" customWidth="1"/>
    <col min="25" max="25" width="10.1640625" bestFit="1" customWidth="1"/>
    <col min="26" max="26" width="0.5" customWidth="1"/>
    <col min="27" max="27" width="11" customWidth="1"/>
    <col min="28" max="28" width="17.33203125" bestFit="1" customWidth="1"/>
    <col min="29" max="29" width="8" bestFit="1" customWidth="1"/>
    <col min="30" max="30" width="8.33203125" bestFit="1" customWidth="1"/>
    <col min="31" max="32" width="10.5" bestFit="1" customWidth="1"/>
    <col min="33" max="33" width="8.83203125" bestFit="1" customWidth="1"/>
    <col min="34" max="34" width="0.5" customWidth="1"/>
  </cols>
  <sheetData>
    <row r="1" spans="1:34" ht="22" x14ac:dyDescent="0.3">
      <c r="A1" s="3" t="s">
        <v>48</v>
      </c>
      <c r="B1" s="2"/>
      <c r="C1" s="3" t="s">
        <v>24</v>
      </c>
      <c r="D1" s="3"/>
      <c r="E1" s="4"/>
      <c r="F1" s="3" t="s">
        <v>10</v>
      </c>
      <c r="G1" s="3"/>
      <c r="H1" s="4"/>
      <c r="I1" s="3" t="s">
        <v>28</v>
      </c>
      <c r="J1" s="3"/>
      <c r="K1" s="4"/>
      <c r="L1" s="3" t="s">
        <v>34</v>
      </c>
      <c r="M1" s="3"/>
      <c r="N1" s="4"/>
      <c r="O1" s="3" t="s">
        <v>21</v>
      </c>
      <c r="P1" s="3"/>
      <c r="Q1" s="3"/>
      <c r="R1" s="4"/>
      <c r="S1" s="3" t="s">
        <v>22</v>
      </c>
      <c r="T1" s="3"/>
      <c r="U1" s="3"/>
      <c r="V1" s="2"/>
      <c r="W1" s="3" t="s">
        <v>110</v>
      </c>
      <c r="X1" s="3" t="s">
        <v>138</v>
      </c>
      <c r="Z1" s="4"/>
      <c r="AA1" s="3" t="s">
        <v>123</v>
      </c>
      <c r="AB1" s="3"/>
      <c r="AD1" s="3" t="s">
        <v>49</v>
      </c>
      <c r="AE1" s="3" t="s">
        <v>127</v>
      </c>
      <c r="AF1" s="3" t="s">
        <v>20</v>
      </c>
      <c r="AG1" s="3" t="s">
        <v>125</v>
      </c>
      <c r="AH1" s="4"/>
    </row>
    <row r="2" spans="1:34" ht="22" x14ac:dyDescent="0.3">
      <c r="A2" s="3" t="s">
        <v>49</v>
      </c>
      <c r="B2" s="2"/>
      <c r="C2" s="11">
        <f>SUM(D6:D20)</f>
        <v>11250</v>
      </c>
      <c r="D2" s="3"/>
      <c r="E2" s="4"/>
      <c r="F2" s="3">
        <f>SUM(G6:G19)</f>
        <v>0</v>
      </c>
      <c r="H2" s="4"/>
      <c r="I2" s="11">
        <f>SUM(J6:J11)</f>
        <v>5800</v>
      </c>
      <c r="K2" s="4"/>
      <c r="L2" s="11">
        <f>SUM(M6:M13)</f>
        <v>3008</v>
      </c>
      <c r="N2" s="4"/>
      <c r="O2" s="11">
        <f>SUM(Q6:Q20)</f>
        <v>78469</v>
      </c>
      <c r="P2" s="11"/>
      <c r="R2" s="4"/>
      <c r="S2" s="11">
        <f>SUM(U6:U25)</f>
        <v>56501</v>
      </c>
      <c r="T2" s="11"/>
      <c r="V2" s="2"/>
      <c r="W2" s="11">
        <f>SUM(Y6:Y23)</f>
        <v>9963</v>
      </c>
      <c r="X2" s="11">
        <f>AE27</f>
        <v>7409</v>
      </c>
      <c r="Y2" s="11">
        <f>SUM(W2:X2)</f>
        <v>17372</v>
      </c>
      <c r="Z2" s="4"/>
      <c r="AA2" s="11">
        <f>SUM(AG6:AG20)</f>
        <v>0</v>
      </c>
      <c r="AB2" s="11"/>
      <c r="AC2" s="11"/>
      <c r="AD2" s="3">
        <f>SUM(AD6:AD20)</f>
        <v>499</v>
      </c>
      <c r="AE2" s="3">
        <f>SUM(AE6:AE20)</f>
        <v>499</v>
      </c>
      <c r="AF2" s="3">
        <f>SUM(AF6:AF20)</f>
        <v>0</v>
      </c>
      <c r="AG2" s="3">
        <f>SUM(AG6:AG20)</f>
        <v>0</v>
      </c>
      <c r="AH2" s="4"/>
    </row>
    <row r="3" spans="1:34" ht="22" x14ac:dyDescent="0.3">
      <c r="A3" s="3" t="s">
        <v>46</v>
      </c>
      <c r="B3" s="2"/>
      <c r="C3" s="11">
        <v>3050</v>
      </c>
      <c r="D3" s="3"/>
      <c r="E3" s="4"/>
      <c r="F3" s="3">
        <v>313</v>
      </c>
      <c r="G3" s="3"/>
      <c r="H3" s="4"/>
      <c r="I3" s="3"/>
      <c r="J3" s="3"/>
      <c r="K3" s="4"/>
      <c r="L3" s="3">
        <v>0</v>
      </c>
      <c r="M3" s="3"/>
      <c r="N3" s="4"/>
      <c r="O3" s="3"/>
      <c r="P3" s="3"/>
      <c r="Q3" s="3"/>
      <c r="R3" s="4"/>
      <c r="S3" s="3"/>
      <c r="T3" s="3"/>
      <c r="U3" s="3"/>
      <c r="V3" s="2"/>
      <c r="W3" s="3"/>
      <c r="X3" s="3"/>
      <c r="Y3" s="3"/>
      <c r="Z3" s="4"/>
      <c r="AA3" s="3"/>
      <c r="AB3" s="3"/>
      <c r="AC3" s="3"/>
      <c r="AD3" s="3"/>
      <c r="AE3" s="3"/>
      <c r="AF3" s="3"/>
      <c r="AG3" s="3"/>
      <c r="AH3" s="4"/>
    </row>
    <row r="4" spans="1:34" ht="22" x14ac:dyDescent="0.3">
      <c r="B4" s="2"/>
      <c r="C4" s="3" t="s">
        <v>25</v>
      </c>
      <c r="D4" s="11">
        <v>17750</v>
      </c>
      <c r="E4" s="4"/>
      <c r="F4" s="3"/>
      <c r="G4" s="3"/>
      <c r="H4" s="4"/>
      <c r="I4" s="3"/>
      <c r="J4" s="3"/>
      <c r="K4" s="4"/>
      <c r="L4" s="3"/>
      <c r="M4" s="3"/>
      <c r="N4" s="4"/>
      <c r="O4" s="3"/>
      <c r="P4" s="3"/>
      <c r="Q4" s="3"/>
      <c r="R4" s="4"/>
      <c r="S4" s="3"/>
      <c r="T4" s="3"/>
      <c r="U4" s="3"/>
      <c r="V4" s="2"/>
      <c r="W4" s="3"/>
      <c r="X4" s="3"/>
      <c r="Y4" s="3"/>
      <c r="Z4" s="4"/>
      <c r="AA4" s="3"/>
      <c r="AB4" s="3"/>
      <c r="AC4" s="3"/>
      <c r="AD4" s="3"/>
      <c r="AE4" s="3"/>
      <c r="AF4" s="3"/>
      <c r="AG4" s="3"/>
      <c r="AH4" s="4"/>
    </row>
    <row r="5" spans="1:34" ht="22" x14ac:dyDescent="0.3">
      <c r="B5" s="2"/>
      <c r="C5" s="3"/>
      <c r="D5" s="11"/>
      <c r="E5" s="4"/>
      <c r="F5" s="3"/>
      <c r="G5" s="3"/>
      <c r="H5" s="4"/>
      <c r="I5" s="3"/>
      <c r="J5" s="3"/>
      <c r="K5" s="4"/>
      <c r="L5" s="3"/>
      <c r="M5" s="3"/>
      <c r="N5" s="4"/>
      <c r="O5" s="3"/>
      <c r="P5" s="3"/>
      <c r="Q5" s="3"/>
      <c r="R5" s="4"/>
      <c r="S5" s="3"/>
      <c r="T5" s="3"/>
      <c r="U5" s="3"/>
      <c r="V5" s="2"/>
      <c r="W5" s="3"/>
      <c r="X5" s="3"/>
      <c r="Y5" s="3"/>
      <c r="Z5" s="4"/>
      <c r="AA5" s="3" t="s">
        <v>126</v>
      </c>
      <c r="AB5" s="3" t="s">
        <v>124</v>
      </c>
      <c r="AC5" s="3" t="s">
        <v>131</v>
      </c>
      <c r="AD5" s="3"/>
      <c r="AE5" s="3"/>
      <c r="AF5" s="3"/>
      <c r="AG5" s="3"/>
      <c r="AH5" s="4"/>
    </row>
    <row r="6" spans="1:34" ht="22" x14ac:dyDescent="0.3">
      <c r="B6" s="2"/>
      <c r="C6" s="3" t="s">
        <v>26</v>
      </c>
      <c r="D6" s="11">
        <v>19300</v>
      </c>
      <c r="E6" s="4"/>
      <c r="F6" s="3" t="s">
        <v>26</v>
      </c>
      <c r="G6" s="11">
        <v>-653</v>
      </c>
      <c r="H6" s="4"/>
      <c r="I6" s="3" t="s">
        <v>29</v>
      </c>
      <c r="J6" s="11">
        <v>2600</v>
      </c>
      <c r="K6" s="4"/>
      <c r="L6" s="3" t="s">
        <v>26</v>
      </c>
      <c r="M6" s="11">
        <v>3448</v>
      </c>
      <c r="N6" s="4"/>
      <c r="O6" s="3">
        <v>0</v>
      </c>
      <c r="P6" s="3" t="s">
        <v>26</v>
      </c>
      <c r="Q6" s="11">
        <v>39948</v>
      </c>
      <c r="R6" s="4"/>
      <c r="S6" s="3">
        <v>1</v>
      </c>
      <c r="T6" s="3" t="s">
        <v>38</v>
      </c>
      <c r="U6" s="11">
        <v>187</v>
      </c>
      <c r="V6" s="2"/>
      <c r="W6" s="3">
        <v>4</v>
      </c>
      <c r="X6" s="3" t="s">
        <v>113</v>
      </c>
      <c r="Y6" s="11">
        <v>200</v>
      </c>
      <c r="Z6" s="4"/>
      <c r="AA6" s="3">
        <v>6</v>
      </c>
      <c r="AB6" s="3" t="s">
        <v>143</v>
      </c>
      <c r="AC6" s="3" t="s">
        <v>132</v>
      </c>
      <c r="AD6" s="3">
        <v>499</v>
      </c>
      <c r="AE6" s="3">
        <v>499</v>
      </c>
      <c r="AF6" s="3">
        <f>AD6-AE6</f>
        <v>0</v>
      </c>
      <c r="AG6" s="3">
        <v>0</v>
      </c>
      <c r="AH6" s="4"/>
    </row>
    <row r="7" spans="1:34" ht="22" x14ac:dyDescent="0.3">
      <c r="B7" s="2"/>
      <c r="C7" s="3">
        <v>1</v>
      </c>
      <c r="D7" s="11">
        <v>-17750</v>
      </c>
      <c r="E7" s="4"/>
      <c r="F7" s="3">
        <v>1</v>
      </c>
      <c r="G7" s="11">
        <v>313</v>
      </c>
      <c r="H7" s="4"/>
      <c r="I7" s="3" t="s">
        <v>30</v>
      </c>
      <c r="J7" s="11">
        <v>800</v>
      </c>
      <c r="K7" s="4"/>
      <c r="L7" s="3">
        <v>1</v>
      </c>
      <c r="M7" s="11"/>
      <c r="N7" s="4"/>
      <c r="O7" s="3">
        <v>1</v>
      </c>
      <c r="P7" s="3" t="s">
        <v>69</v>
      </c>
      <c r="Q7" s="11">
        <v>864</v>
      </c>
      <c r="R7" s="4"/>
      <c r="S7" s="3">
        <v>1</v>
      </c>
      <c r="T7" s="3" t="s">
        <v>39</v>
      </c>
      <c r="U7" s="11">
        <v>1083</v>
      </c>
      <c r="V7" s="2"/>
      <c r="W7" s="3">
        <v>4</v>
      </c>
      <c r="X7" s="3" t="s">
        <v>114</v>
      </c>
      <c r="Y7" s="11">
        <v>500</v>
      </c>
      <c r="Z7" s="4"/>
      <c r="AA7" s="3"/>
      <c r="AB7" s="3"/>
      <c r="AC7" s="3"/>
      <c r="AD7" s="3"/>
      <c r="AE7" s="3"/>
      <c r="AF7" s="3"/>
      <c r="AG7" s="3"/>
      <c r="AH7" s="4"/>
    </row>
    <row r="8" spans="1:34" ht="22" x14ac:dyDescent="0.3">
      <c r="B8" s="2"/>
      <c r="C8" s="3">
        <v>1</v>
      </c>
      <c r="D8" s="11">
        <v>3050</v>
      </c>
      <c r="E8" s="4"/>
      <c r="F8" s="3">
        <v>2</v>
      </c>
      <c r="G8" s="11">
        <v>313</v>
      </c>
      <c r="H8" s="4"/>
      <c r="I8" s="3" t="s">
        <v>31</v>
      </c>
      <c r="J8" s="11">
        <v>1000</v>
      </c>
      <c r="K8" s="4"/>
      <c r="L8" s="3">
        <v>2</v>
      </c>
      <c r="M8" s="11">
        <v>2000</v>
      </c>
      <c r="N8" s="4"/>
      <c r="O8" s="3">
        <v>1</v>
      </c>
      <c r="P8" s="3" t="s">
        <v>111</v>
      </c>
      <c r="Q8" s="11">
        <v>17777</v>
      </c>
      <c r="R8" s="4"/>
      <c r="S8" s="3">
        <v>1</v>
      </c>
      <c r="T8" s="3" t="s">
        <v>40</v>
      </c>
      <c r="U8" s="11">
        <v>721</v>
      </c>
      <c r="V8" s="2"/>
      <c r="W8" s="3">
        <v>4</v>
      </c>
      <c r="X8" s="3" t="s">
        <v>115</v>
      </c>
      <c r="Y8" s="11">
        <v>303</v>
      </c>
      <c r="Z8" s="4"/>
      <c r="AA8" s="3"/>
      <c r="AB8" s="3"/>
      <c r="AC8" s="3"/>
      <c r="AD8" s="3"/>
      <c r="AE8" s="3"/>
      <c r="AF8" s="3"/>
      <c r="AG8" s="3"/>
      <c r="AH8" s="4"/>
    </row>
    <row r="9" spans="1:34" ht="22" x14ac:dyDescent="0.3">
      <c r="B9" s="2"/>
      <c r="C9" s="3">
        <v>2</v>
      </c>
      <c r="D9" s="11">
        <v>3050</v>
      </c>
      <c r="E9" s="4"/>
      <c r="F9" s="3">
        <v>3</v>
      </c>
      <c r="G9" s="11">
        <v>27</v>
      </c>
      <c r="H9" s="4"/>
      <c r="I9" s="3" t="s">
        <v>32</v>
      </c>
      <c r="J9" s="11">
        <v>500</v>
      </c>
      <c r="K9" s="4"/>
      <c r="L9" s="3">
        <v>3</v>
      </c>
      <c r="M9" s="11">
        <v>-2440</v>
      </c>
      <c r="N9" s="4"/>
      <c r="O9" s="3">
        <v>2</v>
      </c>
      <c r="P9" s="3" t="s">
        <v>69</v>
      </c>
      <c r="Q9" s="11">
        <v>1676</v>
      </c>
      <c r="R9" s="4"/>
      <c r="S9" s="3">
        <v>1</v>
      </c>
      <c r="T9" s="3" t="s">
        <v>41</v>
      </c>
      <c r="U9" s="11">
        <v>4479</v>
      </c>
      <c r="V9" s="2"/>
      <c r="W9" s="3">
        <v>4</v>
      </c>
      <c r="X9" s="3" t="s">
        <v>116</v>
      </c>
      <c r="Y9" s="11">
        <v>750</v>
      </c>
      <c r="Z9" s="4"/>
      <c r="AH9" s="4"/>
    </row>
    <row r="10" spans="1:34" ht="22" x14ac:dyDescent="0.3">
      <c r="B10" s="2"/>
      <c r="C10" s="3">
        <v>3</v>
      </c>
      <c r="D10" s="11">
        <v>3050</v>
      </c>
      <c r="E10" s="4"/>
      <c r="F10" s="3">
        <v>4</v>
      </c>
      <c r="G10" s="11"/>
      <c r="H10" s="4"/>
      <c r="I10" s="3" t="s">
        <v>33</v>
      </c>
      <c r="J10" s="11">
        <v>400</v>
      </c>
      <c r="K10" s="4"/>
      <c r="L10" s="3"/>
      <c r="M10" s="11"/>
      <c r="N10" s="4"/>
      <c r="O10" s="3">
        <v>3</v>
      </c>
      <c r="P10" s="3" t="s">
        <v>69</v>
      </c>
      <c r="Q10" s="11">
        <v>787</v>
      </c>
      <c r="R10" s="4"/>
      <c r="S10" s="3">
        <v>1</v>
      </c>
      <c r="T10" s="3" t="s">
        <v>43</v>
      </c>
      <c r="U10" s="11">
        <v>540</v>
      </c>
      <c r="V10" s="2"/>
      <c r="W10" s="3">
        <v>4</v>
      </c>
      <c r="X10" s="3" t="s">
        <v>117</v>
      </c>
      <c r="Y10" s="11">
        <v>188</v>
      </c>
      <c r="Z10" s="4"/>
      <c r="AH10" s="4"/>
    </row>
    <row r="11" spans="1:34" ht="22" x14ac:dyDescent="0.3">
      <c r="B11" s="2"/>
      <c r="C11" s="3">
        <v>4</v>
      </c>
      <c r="D11" s="11">
        <v>3050</v>
      </c>
      <c r="E11" s="4"/>
      <c r="F11" s="3">
        <v>5</v>
      </c>
      <c r="G11" s="11"/>
      <c r="H11" s="4"/>
      <c r="I11" s="3" t="s">
        <v>152</v>
      </c>
      <c r="J11" s="11">
        <v>500</v>
      </c>
      <c r="K11" s="4"/>
      <c r="L11" s="3" t="s">
        <v>27</v>
      </c>
      <c r="M11" s="11"/>
      <c r="N11" s="4"/>
      <c r="O11" s="3">
        <v>4</v>
      </c>
      <c r="P11" s="3" t="s">
        <v>112</v>
      </c>
      <c r="Q11" s="11">
        <v>2000</v>
      </c>
      <c r="R11" s="4"/>
      <c r="S11" s="3">
        <v>1</v>
      </c>
      <c r="T11" s="3" t="s">
        <v>42</v>
      </c>
      <c r="U11" s="11">
        <v>3162</v>
      </c>
      <c r="V11" s="2"/>
      <c r="W11" s="3">
        <v>4</v>
      </c>
      <c r="X11" s="3" t="s">
        <v>118</v>
      </c>
      <c r="Y11" s="11">
        <v>200</v>
      </c>
      <c r="Z11" s="4"/>
      <c r="AA11" s="3"/>
      <c r="AB11" s="3"/>
      <c r="AC11" s="3"/>
      <c r="AD11" s="3"/>
      <c r="AE11" s="3"/>
      <c r="AF11" s="3"/>
      <c r="AG11" s="11"/>
      <c r="AH11" s="4"/>
    </row>
    <row r="12" spans="1:34" ht="22" x14ac:dyDescent="0.3">
      <c r="B12" s="2"/>
      <c r="C12" s="3">
        <v>5</v>
      </c>
      <c r="D12" s="11">
        <v>3050</v>
      </c>
      <c r="E12" s="4"/>
      <c r="F12" s="3">
        <v>6</v>
      </c>
      <c r="G12" s="11"/>
      <c r="H12" s="4"/>
      <c r="I12" s="3"/>
      <c r="J12" s="11"/>
      <c r="K12" s="4"/>
      <c r="L12" s="3" t="s">
        <v>35</v>
      </c>
      <c r="M12" s="11"/>
      <c r="N12" s="4"/>
      <c r="O12" s="3">
        <v>4</v>
      </c>
      <c r="P12" s="3" t="s">
        <v>69</v>
      </c>
      <c r="Q12" s="11">
        <v>7027</v>
      </c>
      <c r="R12" s="4"/>
      <c r="S12" s="3">
        <v>2</v>
      </c>
      <c r="T12" s="1" t="s">
        <v>99</v>
      </c>
      <c r="U12" s="11">
        <v>10000</v>
      </c>
      <c r="V12" s="2"/>
      <c r="W12" s="3">
        <v>4</v>
      </c>
      <c r="X12" s="3" t="s">
        <v>119</v>
      </c>
      <c r="Y12" s="11">
        <v>200</v>
      </c>
      <c r="Z12" s="4"/>
      <c r="AA12" s="3"/>
      <c r="AB12" s="3"/>
      <c r="AC12" s="3"/>
      <c r="AD12" s="3"/>
      <c r="AE12" s="3"/>
      <c r="AF12" s="3"/>
      <c r="AG12" s="11"/>
      <c r="AH12" s="4"/>
    </row>
    <row r="13" spans="1:34" ht="22" x14ac:dyDescent="0.3">
      <c r="B13" s="2"/>
      <c r="C13" s="3">
        <v>6</v>
      </c>
      <c r="D13" s="11">
        <v>3050</v>
      </c>
      <c r="E13" s="4"/>
      <c r="F13" s="3">
        <v>7</v>
      </c>
      <c r="G13" s="11"/>
      <c r="H13" s="4"/>
      <c r="I13" s="3"/>
      <c r="J13" s="11"/>
      <c r="K13" s="4"/>
      <c r="L13" s="3" t="s">
        <v>27</v>
      </c>
      <c r="M13" s="11"/>
      <c r="N13" s="4"/>
      <c r="O13" s="3">
        <v>5</v>
      </c>
      <c r="P13" s="3" t="s">
        <v>69</v>
      </c>
      <c r="Q13" s="11">
        <v>949</v>
      </c>
      <c r="R13" s="4"/>
      <c r="S13" s="3">
        <v>2</v>
      </c>
      <c r="T13" s="3" t="s">
        <v>98</v>
      </c>
      <c r="U13" s="11">
        <v>1000</v>
      </c>
      <c r="V13" s="2"/>
      <c r="W13" s="3">
        <v>4</v>
      </c>
      <c r="X13" s="3" t="s">
        <v>120</v>
      </c>
      <c r="Y13" s="11">
        <v>223</v>
      </c>
      <c r="Z13" s="4"/>
      <c r="AA13" s="3"/>
      <c r="AB13" s="3"/>
      <c r="AC13" s="3"/>
      <c r="AD13" s="3"/>
      <c r="AE13" s="3"/>
      <c r="AF13" s="3"/>
      <c r="AG13" s="11"/>
      <c r="AH13" s="4"/>
    </row>
    <row r="14" spans="1:34" ht="22" x14ac:dyDescent="0.3">
      <c r="B14" s="2"/>
      <c r="C14" s="3">
        <v>7</v>
      </c>
      <c r="D14" s="11">
        <v>-17750</v>
      </c>
      <c r="E14" s="4"/>
      <c r="F14" s="3">
        <v>8</v>
      </c>
      <c r="G14" s="11"/>
      <c r="H14" s="4"/>
      <c r="I14" s="3"/>
      <c r="J14" s="11"/>
      <c r="K14" s="4"/>
      <c r="L14" s="3"/>
      <c r="M14" s="11"/>
      <c r="N14" s="4"/>
      <c r="O14" s="3">
        <v>7</v>
      </c>
      <c r="P14" s="3" t="s">
        <v>69</v>
      </c>
      <c r="Q14" s="11">
        <v>3066</v>
      </c>
      <c r="R14" s="4"/>
      <c r="S14" s="3">
        <v>2</v>
      </c>
      <c r="T14" s="3" t="s">
        <v>100</v>
      </c>
      <c r="U14" s="11">
        <v>500</v>
      </c>
      <c r="V14" s="2"/>
      <c r="W14" s="3">
        <v>4</v>
      </c>
      <c r="X14" s="3" t="s">
        <v>121</v>
      </c>
      <c r="Y14" s="11">
        <v>501</v>
      </c>
      <c r="Z14" s="4"/>
      <c r="AA14" s="3"/>
      <c r="AB14" s="3"/>
      <c r="AC14" s="3"/>
      <c r="AD14" s="3"/>
      <c r="AE14" s="3"/>
      <c r="AF14" s="3"/>
      <c r="AG14" s="11"/>
      <c r="AH14" s="4"/>
    </row>
    <row r="15" spans="1:34" ht="22" x14ac:dyDescent="0.3">
      <c r="B15" s="2"/>
      <c r="C15" s="3">
        <v>7</v>
      </c>
      <c r="D15" s="11">
        <v>3050</v>
      </c>
      <c r="E15" s="4"/>
      <c r="F15" s="3">
        <v>9</v>
      </c>
      <c r="G15" s="11"/>
      <c r="H15" s="4"/>
      <c r="I15" s="3"/>
      <c r="J15" s="11"/>
      <c r="K15" s="4"/>
      <c r="L15" s="3"/>
      <c r="M15" s="11"/>
      <c r="N15" s="4"/>
      <c r="O15" s="3">
        <v>8</v>
      </c>
      <c r="P15" s="3" t="s">
        <v>69</v>
      </c>
      <c r="Q15" s="11">
        <v>3415</v>
      </c>
      <c r="R15" s="4"/>
      <c r="S15" s="3">
        <v>3</v>
      </c>
      <c r="T15" s="3" t="s">
        <v>106</v>
      </c>
      <c r="U15" s="3">
        <v>3701</v>
      </c>
      <c r="V15" s="2"/>
      <c r="W15" s="3">
        <v>4</v>
      </c>
      <c r="X15" s="3" t="s">
        <v>122</v>
      </c>
      <c r="Y15" s="11">
        <v>1500</v>
      </c>
      <c r="Z15" s="4"/>
      <c r="AA15" s="3"/>
      <c r="AB15" s="3"/>
      <c r="AC15" s="3"/>
      <c r="AD15" s="3"/>
      <c r="AE15" s="3"/>
      <c r="AF15" s="3"/>
      <c r="AG15" s="11"/>
      <c r="AH15" s="4"/>
    </row>
    <row r="16" spans="1:34" ht="22" x14ac:dyDescent="0.3">
      <c r="B16" s="2"/>
      <c r="C16" s="3">
        <v>8</v>
      </c>
      <c r="D16" s="11">
        <v>3050</v>
      </c>
      <c r="E16" s="4"/>
      <c r="F16" s="3">
        <v>10</v>
      </c>
      <c r="G16" s="11"/>
      <c r="H16" s="4"/>
      <c r="I16" s="3"/>
      <c r="J16" s="11"/>
      <c r="K16" s="4"/>
      <c r="L16" s="3"/>
      <c r="M16" s="11"/>
      <c r="N16" s="4"/>
      <c r="O16" s="3">
        <v>9</v>
      </c>
      <c r="P16" s="3" t="s">
        <v>69</v>
      </c>
      <c r="Q16" s="11">
        <v>960</v>
      </c>
      <c r="R16" s="4"/>
      <c r="S16" s="3">
        <v>3</v>
      </c>
      <c r="T16" s="3" t="s">
        <v>105</v>
      </c>
      <c r="U16" s="3">
        <v>1000</v>
      </c>
      <c r="V16" s="2"/>
      <c r="W16" s="3">
        <v>4</v>
      </c>
      <c r="X16" s="3" t="s">
        <v>137</v>
      </c>
      <c r="Y16" s="11"/>
      <c r="Z16" s="4"/>
      <c r="AA16" s="3"/>
      <c r="AB16" s="3"/>
      <c r="AC16" s="3"/>
      <c r="AD16" s="3"/>
      <c r="AE16" s="3"/>
      <c r="AF16" s="3"/>
      <c r="AG16" s="11"/>
      <c r="AH16" s="4"/>
    </row>
    <row r="17" spans="2:34" ht="22" x14ac:dyDescent="0.3">
      <c r="B17" s="2"/>
      <c r="C17" s="3">
        <v>9</v>
      </c>
      <c r="D17" s="11">
        <v>3050</v>
      </c>
      <c r="E17" s="4"/>
      <c r="F17" s="3">
        <v>11</v>
      </c>
      <c r="G17" s="11"/>
      <c r="H17" s="4"/>
      <c r="I17" s="3"/>
      <c r="J17" s="11"/>
      <c r="K17" s="4"/>
      <c r="L17" s="3"/>
      <c r="M17" s="11"/>
      <c r="N17" s="4"/>
      <c r="O17" s="3"/>
      <c r="P17" s="3"/>
      <c r="Q17" s="11"/>
      <c r="R17" s="4"/>
      <c r="S17" s="3">
        <v>3</v>
      </c>
      <c r="T17" s="3" t="s">
        <v>107</v>
      </c>
      <c r="U17" s="11">
        <v>850</v>
      </c>
      <c r="V17" s="2"/>
      <c r="W17" s="3">
        <v>10</v>
      </c>
      <c r="X17" s="3" t="s">
        <v>130</v>
      </c>
      <c r="Y17" s="11">
        <v>2734</v>
      </c>
      <c r="Z17" s="4"/>
      <c r="AA17" s="3"/>
      <c r="AB17" s="3"/>
      <c r="AC17" s="3"/>
      <c r="AD17" s="3"/>
      <c r="AE17" s="3"/>
      <c r="AF17" s="3"/>
      <c r="AG17" s="11"/>
      <c r="AH17" s="4"/>
    </row>
    <row r="18" spans="2:34" ht="22" x14ac:dyDescent="0.3">
      <c r="B18" s="2"/>
      <c r="C18" s="3">
        <v>10</v>
      </c>
      <c r="D18" s="11"/>
      <c r="E18" s="4"/>
      <c r="F18" s="3">
        <v>12</v>
      </c>
      <c r="G18" s="11"/>
      <c r="H18" s="4"/>
      <c r="I18" s="3"/>
      <c r="J18" s="11"/>
      <c r="K18" s="4"/>
      <c r="L18" s="3"/>
      <c r="M18" s="11"/>
      <c r="N18" s="4"/>
      <c r="O18" s="3"/>
      <c r="P18" s="3"/>
      <c r="Q18" s="11"/>
      <c r="R18" s="4"/>
      <c r="S18" s="3">
        <v>4</v>
      </c>
      <c r="T18" s="3" t="str">
        <f>W1</f>
        <v>سفرة مصر</v>
      </c>
      <c r="U18" s="11">
        <f>W2</f>
        <v>9963</v>
      </c>
      <c r="V18" s="2"/>
      <c r="W18" s="3">
        <v>4</v>
      </c>
      <c r="X18" s="3" t="s">
        <v>133</v>
      </c>
      <c r="Y18" s="3">
        <v>228</v>
      </c>
      <c r="Z18" s="4"/>
      <c r="AA18" s="3"/>
      <c r="AB18" s="3"/>
      <c r="AC18" s="3"/>
      <c r="AD18" s="3"/>
      <c r="AE18" s="3"/>
      <c r="AF18" s="3"/>
      <c r="AG18" s="11"/>
      <c r="AH18" s="4"/>
    </row>
    <row r="19" spans="2:34" ht="22" x14ac:dyDescent="0.3">
      <c r="B19" s="2"/>
      <c r="C19" s="3">
        <v>11</v>
      </c>
      <c r="D19" s="3"/>
      <c r="E19" s="4"/>
      <c r="F19" s="3"/>
      <c r="G19" s="3"/>
      <c r="H19" s="4"/>
      <c r="I19" s="3"/>
      <c r="J19" s="3"/>
      <c r="K19" s="4"/>
      <c r="L19" s="3"/>
      <c r="M19" s="3"/>
      <c r="N19" s="4"/>
      <c r="O19" s="3"/>
      <c r="P19" s="3"/>
      <c r="Q19" s="3"/>
      <c r="R19" s="4"/>
      <c r="S19" s="3">
        <v>5</v>
      </c>
      <c r="T19" s="3" t="s">
        <v>140</v>
      </c>
      <c r="U19" s="11">
        <v>3600</v>
      </c>
      <c r="V19" s="2"/>
      <c r="W19" s="3">
        <v>4</v>
      </c>
      <c r="X19" s="3" t="s">
        <v>134</v>
      </c>
      <c r="Y19" s="5">
        <v>1957</v>
      </c>
      <c r="Z19" s="4"/>
      <c r="AA19" s="3"/>
      <c r="AB19" s="3"/>
      <c r="AC19" s="3"/>
      <c r="AD19" s="3"/>
      <c r="AE19" s="3"/>
      <c r="AF19" s="3"/>
      <c r="AG19" s="3"/>
      <c r="AH19" s="4"/>
    </row>
    <row r="20" spans="2:34" ht="22" x14ac:dyDescent="0.3">
      <c r="B20" s="2"/>
      <c r="C20" s="3">
        <v>12</v>
      </c>
      <c r="D20" s="3"/>
      <c r="E20" s="4"/>
      <c r="F20" s="3"/>
      <c r="G20" s="3"/>
      <c r="H20" s="4"/>
      <c r="I20" s="3"/>
      <c r="J20" s="3"/>
      <c r="K20" s="4"/>
      <c r="L20" s="3"/>
      <c r="M20" s="3"/>
      <c r="N20" s="4"/>
      <c r="O20" s="3"/>
      <c r="P20" s="3"/>
      <c r="Q20" s="3"/>
      <c r="R20" s="4"/>
      <c r="S20" s="3">
        <v>6</v>
      </c>
      <c r="T20" s="3" t="s">
        <v>141</v>
      </c>
      <c r="U20" s="3">
        <v>2107</v>
      </c>
      <c r="V20" s="2"/>
      <c r="W20" s="3">
        <v>4</v>
      </c>
      <c r="X20" s="3" t="s">
        <v>136</v>
      </c>
      <c r="Y20" s="11">
        <v>479</v>
      </c>
      <c r="Z20" s="4"/>
      <c r="AA20" s="3"/>
      <c r="AB20" s="3"/>
      <c r="AC20" s="3"/>
      <c r="AD20" s="3"/>
      <c r="AE20" s="3"/>
      <c r="AF20" s="3"/>
      <c r="AG20" s="3"/>
      <c r="AH20" s="4"/>
    </row>
    <row r="21" spans="2:34" ht="22" x14ac:dyDescent="0.3">
      <c r="B21" s="2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3">
        <v>6</v>
      </c>
      <c r="T21" s="3" t="s">
        <v>142</v>
      </c>
      <c r="U21" s="3">
        <v>3000</v>
      </c>
      <c r="V21" s="2"/>
      <c r="Z21" s="4"/>
      <c r="AA21" s="4"/>
      <c r="AB21" s="4"/>
      <c r="AC21" s="4"/>
      <c r="AD21" s="4"/>
      <c r="AE21" s="4"/>
      <c r="AF21" s="4"/>
      <c r="AG21" s="4"/>
      <c r="AH21" s="4"/>
    </row>
    <row r="22" spans="2:34" ht="22" x14ac:dyDescent="0.3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>
        <v>6</v>
      </c>
      <c r="T22" s="3" t="s">
        <v>146</v>
      </c>
      <c r="U22" s="3">
        <v>3680</v>
      </c>
    </row>
    <row r="23" spans="2:34" ht="22" x14ac:dyDescent="0.3">
      <c r="C23" s="3"/>
      <c r="D23" s="3"/>
      <c r="E23" s="3"/>
      <c r="F23" s="3"/>
      <c r="G23" s="3"/>
      <c r="H23" s="3"/>
      <c r="I23" s="3"/>
      <c r="J23" s="3"/>
      <c r="K23" s="4"/>
      <c r="L23" s="3" t="s">
        <v>23</v>
      </c>
      <c r="M23" s="6">
        <f>O2-S2</f>
        <v>21968</v>
      </c>
      <c r="N23" s="4"/>
      <c r="O23" s="3"/>
      <c r="P23" s="3"/>
      <c r="Q23" s="3"/>
      <c r="R23" s="3"/>
      <c r="S23" s="3">
        <v>8</v>
      </c>
      <c r="T23" s="3" t="s">
        <v>150</v>
      </c>
      <c r="U23" s="3">
        <v>2000</v>
      </c>
    </row>
    <row r="24" spans="2:34" ht="22" x14ac:dyDescent="0.3">
      <c r="C24" s="3"/>
      <c r="D24" s="3"/>
      <c r="E24" s="3"/>
      <c r="F24" s="3"/>
      <c r="G24" s="3"/>
      <c r="H24" s="3"/>
      <c r="I24" s="3"/>
      <c r="J24" s="3"/>
      <c r="K24" s="4"/>
      <c r="L24" s="3" t="s">
        <v>24</v>
      </c>
      <c r="M24" s="6">
        <f>C2</f>
        <v>11250</v>
      </c>
      <c r="N24" s="4"/>
      <c r="O24" s="3"/>
      <c r="P24" s="3"/>
      <c r="Q24" s="3"/>
      <c r="R24" s="3"/>
      <c r="S24" s="3">
        <v>8</v>
      </c>
      <c r="T24" s="3" t="s">
        <v>151</v>
      </c>
      <c r="U24" s="5">
        <v>2187</v>
      </c>
      <c r="W24" s="4"/>
      <c r="X24" s="4"/>
      <c r="Y24" s="4"/>
      <c r="AB24" s="3" t="s">
        <v>128</v>
      </c>
      <c r="AC24">
        <v>1995</v>
      </c>
      <c r="AD24">
        <v>499</v>
      </c>
      <c r="AE24">
        <f>AC24-AD24</f>
        <v>1496</v>
      </c>
    </row>
    <row r="25" spans="2:34" ht="22" x14ac:dyDescent="0.3">
      <c r="C25" s="3"/>
      <c r="D25" s="3"/>
      <c r="E25" s="3"/>
      <c r="F25" s="3"/>
      <c r="G25" s="3"/>
      <c r="H25" s="3"/>
      <c r="I25" s="3"/>
      <c r="J25" s="3"/>
      <c r="K25" s="4"/>
      <c r="L25" s="3" t="s">
        <v>34</v>
      </c>
      <c r="M25" s="6">
        <f>L2</f>
        <v>3008</v>
      </c>
      <c r="N25" s="4"/>
      <c r="O25" s="3"/>
      <c r="P25" s="3"/>
      <c r="Q25" s="3"/>
      <c r="R25" s="3"/>
      <c r="S25" s="3">
        <v>9</v>
      </c>
      <c r="T25" s="3" t="s">
        <v>154</v>
      </c>
      <c r="U25" s="3">
        <v>2741</v>
      </c>
      <c r="AB25" s="3" t="s">
        <v>129</v>
      </c>
      <c r="AC25">
        <v>1216</v>
      </c>
      <c r="AD25" s="3">
        <v>304</v>
      </c>
      <c r="AE25">
        <f>AC25-AD25</f>
        <v>912</v>
      </c>
    </row>
    <row r="26" spans="2:34" ht="22" x14ac:dyDescent="0.3">
      <c r="C26" s="3"/>
      <c r="D26" s="3"/>
      <c r="E26" s="3"/>
      <c r="F26" s="3"/>
      <c r="G26" s="3"/>
      <c r="H26" s="3"/>
      <c r="I26" s="3"/>
      <c r="J26" s="3"/>
      <c r="K26" s="4"/>
      <c r="L26" s="3" t="s">
        <v>36</v>
      </c>
      <c r="M26" s="6">
        <f>-I2</f>
        <v>-5800</v>
      </c>
      <c r="N26" s="4"/>
      <c r="O26" s="3"/>
      <c r="P26" s="3"/>
      <c r="Q26" s="3"/>
      <c r="R26" s="3"/>
      <c r="S26" s="3"/>
      <c r="T26" s="3"/>
      <c r="U26" s="3"/>
      <c r="Y26" t="s">
        <v>97</v>
      </c>
      <c r="AB26" s="3" t="s">
        <v>135</v>
      </c>
      <c r="AC26">
        <v>5001</v>
      </c>
      <c r="AE26">
        <f>AC26-AD26</f>
        <v>5001</v>
      </c>
    </row>
    <row r="27" spans="2:34" ht="22" x14ac:dyDescent="0.3">
      <c r="C27" s="3"/>
      <c r="D27" s="3"/>
      <c r="E27" s="3"/>
      <c r="F27" s="3"/>
      <c r="G27" s="3"/>
      <c r="H27" s="3"/>
      <c r="I27" s="3"/>
      <c r="J27" s="3"/>
      <c r="K27" s="4"/>
      <c r="L27" s="3" t="s">
        <v>109</v>
      </c>
      <c r="M27" s="6">
        <v>-10500</v>
      </c>
      <c r="N27" s="4"/>
      <c r="O27" s="3"/>
      <c r="P27" s="3"/>
      <c r="Q27" s="3"/>
      <c r="R27" s="3"/>
      <c r="S27" s="4"/>
      <c r="T27" s="4"/>
      <c r="U27" s="4"/>
      <c r="W27">
        <v>35266</v>
      </c>
      <c r="Y27" s="12">
        <f>M29-W27</f>
        <v>-15340</v>
      </c>
      <c r="AE27">
        <f>SUM(AE24:AE26)</f>
        <v>7409</v>
      </c>
    </row>
    <row r="28" spans="2:34" ht="22" x14ac:dyDescent="0.3">
      <c r="C28" s="3"/>
      <c r="D28" s="3"/>
      <c r="E28" s="3"/>
      <c r="F28" s="3"/>
      <c r="G28" s="3"/>
      <c r="H28" s="3"/>
      <c r="I28" s="3"/>
      <c r="J28" s="3"/>
      <c r="K28" s="4"/>
      <c r="L28" s="3" t="s">
        <v>10</v>
      </c>
      <c r="M28" s="6">
        <f>F2</f>
        <v>0</v>
      </c>
      <c r="N28" s="4"/>
      <c r="O28" s="3"/>
      <c r="P28" s="3"/>
      <c r="Q28" s="3"/>
      <c r="R28" s="3"/>
      <c r="S28" s="3"/>
      <c r="T28" s="3"/>
      <c r="U28" s="3"/>
    </row>
    <row r="29" spans="2:34" ht="22" x14ac:dyDescent="0.3">
      <c r="C29" s="3"/>
      <c r="D29" s="3"/>
      <c r="E29" s="3"/>
      <c r="F29" s="3"/>
      <c r="G29" s="3"/>
      <c r="H29" s="3"/>
      <c r="I29" s="3"/>
      <c r="J29" s="3"/>
      <c r="K29" s="4"/>
      <c r="L29" s="3" t="s">
        <v>37</v>
      </c>
      <c r="M29" s="6">
        <f>SUM(M23:M28)</f>
        <v>19926</v>
      </c>
      <c r="N29" s="4"/>
      <c r="O29" s="3"/>
      <c r="P29" s="3"/>
      <c r="Q29" s="3"/>
      <c r="R29" s="3"/>
      <c r="S29" s="3"/>
      <c r="U29" s="3"/>
    </row>
    <row r="30" spans="2:34" ht="22" x14ac:dyDescent="0.3">
      <c r="C30" s="3"/>
      <c r="D30" s="3"/>
      <c r="E30" s="3"/>
      <c r="F30" s="3"/>
      <c r="G30" s="3"/>
      <c r="H30" s="3"/>
      <c r="I30" s="3"/>
      <c r="J30" s="3"/>
      <c r="L30" s="3" t="s">
        <v>145</v>
      </c>
      <c r="M30" s="6">
        <f>M23+M27+M26</f>
        <v>5668</v>
      </c>
      <c r="O30" s="3"/>
      <c r="P30" s="3"/>
      <c r="Q30" s="3"/>
      <c r="R30" s="3"/>
      <c r="S30" s="3"/>
      <c r="T30" s="3"/>
      <c r="U30" s="3"/>
    </row>
    <row r="31" spans="2:34" ht="22" x14ac:dyDescent="0.3">
      <c r="C31" s="3"/>
      <c r="D31" s="3"/>
      <c r="E31" s="3"/>
      <c r="F31" s="3"/>
      <c r="G31" s="3"/>
      <c r="H31" s="3"/>
      <c r="I31" s="3"/>
      <c r="J31" s="3"/>
      <c r="O31" s="3"/>
      <c r="P31" s="3"/>
      <c r="Q31" s="3"/>
      <c r="R31" s="3"/>
      <c r="S31" s="5"/>
      <c r="T31" s="5"/>
      <c r="U3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مصاريف الشهر</vt:lpstr>
      <vt:lpstr>الأرصدة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 Abutaleb</dc:creator>
  <cp:lastModifiedBy>Ahmed  Abutaleb</cp:lastModifiedBy>
  <dcterms:created xsi:type="dcterms:W3CDTF">2026-01-30T16:13:09Z</dcterms:created>
  <dcterms:modified xsi:type="dcterms:W3CDTF">2026-09-27T06:29:57Z</dcterms:modified>
</cp:coreProperties>
</file>