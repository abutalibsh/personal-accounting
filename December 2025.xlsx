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utalib/Projects/Expenses/"/>
    </mc:Choice>
  </mc:AlternateContent>
  <xr:revisionPtr revIDLastSave="0" documentId="8_{77A5DB66-A1B8-134E-AFFE-FFC51725CFBD}" xr6:coauthVersionLast="47" xr6:coauthVersionMax="47" xr10:uidLastSave="{00000000-0000-0000-0000-000000000000}"/>
  <bookViews>
    <workbookView xWindow="220" yWindow="760" windowWidth="28040" windowHeight="17440" xr2:uid="{7E62CB60-3E82-0E48-87C0-051D0E492E72}"/>
  </bookViews>
  <sheets>
    <sheet name="مصاريف الشهر" sheetId="1" r:id="rId1"/>
    <sheet name="الأرصدة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9" i="2" l="1"/>
  <c r="H2" i="2"/>
  <c r="K2" i="2"/>
  <c r="K28" i="2" s="1"/>
  <c r="E2" i="2"/>
  <c r="K31" i="2" s="1"/>
  <c r="B2" i="2"/>
  <c r="K27" i="2" s="1"/>
  <c r="N2" i="2"/>
  <c r="R2" i="2"/>
  <c r="K18" i="1"/>
  <c r="H28" i="1"/>
  <c r="H27" i="1"/>
  <c r="H26" i="1"/>
  <c r="K26" i="2" l="1"/>
  <c r="K32" i="2" s="1"/>
  <c r="H43" i="1"/>
</calcChain>
</file>

<file path=xl/sharedStrings.xml><?xml version="1.0" encoding="utf-8"?>
<sst xmlns="http://schemas.openxmlformats.org/spreadsheetml/2006/main" count="82" uniqueCount="67">
  <si>
    <t>فاتورة الكهرباء</t>
  </si>
  <si>
    <t>فاتورة الانترنت</t>
  </si>
  <si>
    <t>إجمالي</t>
  </si>
  <si>
    <t>جوالي</t>
  </si>
  <si>
    <t>جوال المرة</t>
  </si>
  <si>
    <t>غسيل السيارة</t>
  </si>
  <si>
    <t>خدمات انترنت</t>
  </si>
  <si>
    <t>مصروف يد لمنى</t>
  </si>
  <si>
    <t>صدقة يومية</t>
  </si>
  <si>
    <t>كماليات</t>
  </si>
  <si>
    <t>رسوم مقيم</t>
  </si>
  <si>
    <t>ماك</t>
  </si>
  <si>
    <t>شات جبت</t>
  </si>
  <si>
    <t>كفالة أيتام</t>
  </si>
  <si>
    <t>إضافة مقاضي</t>
  </si>
  <si>
    <t>جيم ناشن</t>
  </si>
  <si>
    <t>كلود</t>
  </si>
  <si>
    <t>مخالفة شهرية</t>
  </si>
  <si>
    <t>مصاريف شهرية</t>
  </si>
  <si>
    <t>مصاريف الشهر</t>
  </si>
  <si>
    <t>فرق الادخار الحالي</t>
  </si>
  <si>
    <t>الإضافي</t>
  </si>
  <si>
    <t>من المصروف الشهري</t>
  </si>
  <si>
    <t>المتبقي</t>
  </si>
  <si>
    <t>إيداعات</t>
  </si>
  <si>
    <t>ادخار 1</t>
  </si>
  <si>
    <t>ادخار 2</t>
  </si>
  <si>
    <t>ادخار 3</t>
  </si>
  <si>
    <t>ادخار 4</t>
  </si>
  <si>
    <t>ادخار 5</t>
  </si>
  <si>
    <t>ادخار 6</t>
  </si>
  <si>
    <t>تذكرة</t>
  </si>
  <si>
    <t>ادخار 7</t>
  </si>
  <si>
    <t>ادخار 8</t>
  </si>
  <si>
    <t>ادخار 9</t>
  </si>
  <si>
    <t>جمعية 10</t>
  </si>
  <si>
    <t>ادخار 10</t>
  </si>
  <si>
    <t>ادخار 11</t>
  </si>
  <si>
    <t>ادخار 12</t>
  </si>
  <si>
    <t>جمعية 12</t>
  </si>
  <si>
    <t>الخصومات</t>
  </si>
  <si>
    <t xml:space="preserve">شراء سيارة </t>
  </si>
  <si>
    <t xml:space="preserve">عملية سحب ماء الرحم </t>
  </si>
  <si>
    <t>استراحة عيد الأضحى</t>
  </si>
  <si>
    <t xml:space="preserve">سفرة أبها </t>
  </si>
  <si>
    <t xml:space="preserve">رسوم الجامعة </t>
  </si>
  <si>
    <t>يحيى باهارون</t>
  </si>
  <si>
    <t>الرصيد الحر</t>
  </si>
  <si>
    <t>إيجار</t>
  </si>
  <si>
    <t>المبلغ للستة أشهر</t>
  </si>
  <si>
    <t>رصيد افتتاحي</t>
  </si>
  <si>
    <t>إيجار 25/1</t>
  </si>
  <si>
    <t>إيجار 25/7</t>
  </si>
  <si>
    <t>دفع</t>
  </si>
  <si>
    <t>السلف</t>
  </si>
  <si>
    <t>حبيب</t>
  </si>
  <si>
    <t>سالم سعيد</t>
  </si>
  <si>
    <t>وائل</t>
  </si>
  <si>
    <t>نبيل</t>
  </si>
  <si>
    <t>عمر الكثيري</t>
  </si>
  <si>
    <t>يحيى</t>
  </si>
  <si>
    <t>رسوم مرافقين</t>
  </si>
  <si>
    <t>أبريل</t>
  </si>
  <si>
    <t>تحويل</t>
  </si>
  <si>
    <t>سلف</t>
  </si>
  <si>
    <t>كاش</t>
  </si>
  <si>
    <t>الرصيد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</si>
</sst>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6"/>
      <color rgb="FF000000"/>
      <name val="Lucida Grande"/>
      <family val="2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52D6-F91F-A540-B517-60C5A16A2B32}">
  <dimension ref="G4:K43"/>
  <sheetViews>
    <sheetView rightToLeft="1" tabSelected="1" workbookViewId="0">
      <selection activeCell="G5" sqref="G5"/>
    </sheetView>
  </sheetViews>
  <sheetFormatPr baseColWidth="10" defaultRowHeight="16" x14ac:dyDescent="0.2"/>
  <cols>
    <col min="7" max="7" width="19.83203125" bestFit="1" customWidth="1"/>
    <col min="9" max="9" width="15.5" bestFit="1" customWidth="1"/>
  </cols>
  <sheetData>
    <row r="4" spans="7:7" x14ac:dyDescent="0.2">
      <c r="G4" t="s">
        <v>19</v>
      </c>
    </row>
    <row r="17" spans="7:11" x14ac:dyDescent="0.2">
      <c r="I17" t="s">
        <v>22</v>
      </c>
      <c r="J17" t="s">
        <v>21</v>
      </c>
      <c r="K17" t="s">
        <v>23</v>
      </c>
    </row>
    <row r="18" spans="7:11" x14ac:dyDescent="0.2">
      <c r="G18" t="s">
        <v>20</v>
      </c>
      <c r="H18">
        <v>5277</v>
      </c>
      <c r="I18">
        <v>2147</v>
      </c>
      <c r="J18">
        <v>3130</v>
      </c>
      <c r="K18">
        <f>H18-SUM(I18:J18)</f>
        <v>0</v>
      </c>
    </row>
    <row r="25" spans="7:11" x14ac:dyDescent="0.2">
      <c r="G25" t="s">
        <v>18</v>
      </c>
    </row>
    <row r="26" spans="7:11" x14ac:dyDescent="0.2">
      <c r="G26" t="s">
        <v>0</v>
      </c>
      <c r="H26">
        <f>SUM(I26:J26)</f>
        <v>322</v>
      </c>
      <c r="I26">
        <v>209</v>
      </c>
      <c r="J26">
        <v>113</v>
      </c>
    </row>
    <row r="27" spans="7:11" x14ac:dyDescent="0.2">
      <c r="G27" t="s">
        <v>1</v>
      </c>
      <c r="H27">
        <f>SUM(I27:J27)</f>
        <v>575</v>
      </c>
      <c r="I27">
        <v>287.5</v>
      </c>
      <c r="J27">
        <v>287.5</v>
      </c>
    </row>
    <row r="28" spans="7:11" x14ac:dyDescent="0.2">
      <c r="G28" t="s">
        <v>3</v>
      </c>
      <c r="H28">
        <f>SUM(I28:J28)</f>
        <v>195</v>
      </c>
      <c r="I28">
        <v>80</v>
      </c>
      <c r="J28">
        <v>115</v>
      </c>
    </row>
    <row r="29" spans="7:11" x14ac:dyDescent="0.2">
      <c r="G29" t="s">
        <v>4</v>
      </c>
      <c r="H29">
        <v>80</v>
      </c>
    </row>
    <row r="30" spans="7:11" x14ac:dyDescent="0.2">
      <c r="G30" t="s">
        <v>5</v>
      </c>
      <c r="H30">
        <v>80</v>
      </c>
    </row>
    <row r="31" spans="7:11" x14ac:dyDescent="0.2">
      <c r="G31" t="s">
        <v>6</v>
      </c>
      <c r="H31">
        <v>120</v>
      </c>
    </row>
    <row r="32" spans="7:11" x14ac:dyDescent="0.2">
      <c r="G32" t="s">
        <v>7</v>
      </c>
      <c r="H32">
        <v>400</v>
      </c>
    </row>
    <row r="33" spans="7:8" x14ac:dyDescent="0.2">
      <c r="G33" t="s">
        <v>8</v>
      </c>
      <c r="H33">
        <v>120</v>
      </c>
    </row>
    <row r="34" spans="7:8" x14ac:dyDescent="0.2">
      <c r="G34" t="s">
        <v>9</v>
      </c>
      <c r="H34">
        <v>300</v>
      </c>
    </row>
    <row r="35" spans="7:8" x14ac:dyDescent="0.2">
      <c r="G35" t="s">
        <v>10</v>
      </c>
      <c r="H35">
        <v>0</v>
      </c>
    </row>
    <row r="36" spans="7:8" x14ac:dyDescent="0.2">
      <c r="G36" t="s">
        <v>11</v>
      </c>
      <c r="H36">
        <v>313</v>
      </c>
    </row>
    <row r="37" spans="7:8" x14ac:dyDescent="0.2">
      <c r="G37" t="s">
        <v>12</v>
      </c>
      <c r="H37">
        <v>77</v>
      </c>
    </row>
    <row r="38" spans="7:8" x14ac:dyDescent="0.2">
      <c r="G38" t="s">
        <v>13</v>
      </c>
      <c r="H38">
        <v>300</v>
      </c>
    </row>
    <row r="39" spans="7:8" x14ac:dyDescent="0.2">
      <c r="G39" t="s">
        <v>14</v>
      </c>
      <c r="H39">
        <v>200</v>
      </c>
    </row>
    <row r="40" spans="7:8" x14ac:dyDescent="0.2">
      <c r="G40" t="s">
        <v>15</v>
      </c>
      <c r="H40">
        <v>150</v>
      </c>
    </row>
    <row r="41" spans="7:8" x14ac:dyDescent="0.2">
      <c r="G41" t="s">
        <v>16</v>
      </c>
      <c r="H41">
        <v>0</v>
      </c>
    </row>
    <row r="42" spans="7:8" x14ac:dyDescent="0.2">
      <c r="G42" t="s">
        <v>17</v>
      </c>
      <c r="H42">
        <v>75</v>
      </c>
    </row>
    <row r="43" spans="7:8" x14ac:dyDescent="0.2">
      <c r="G43" t="s">
        <v>2</v>
      </c>
      <c r="H43">
        <f>SUM(H26:H42)</f>
        <v>3307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345A-5E98-0C43-BBDD-1D2CC38375ED}">
  <dimension ref="A1:S32"/>
  <sheetViews>
    <sheetView rightToLeft="1" workbookViewId="0">
      <selection activeCell="Q32" sqref="Q32"/>
    </sheetView>
  </sheetViews>
  <sheetFormatPr baseColWidth="10" defaultRowHeight="16" x14ac:dyDescent="0.2"/>
  <cols>
    <col min="1" max="1" width="15.33203125" bestFit="1" customWidth="1"/>
    <col min="2" max="2" width="7.6640625" bestFit="1" customWidth="1"/>
    <col min="3" max="3" width="0.6640625" customWidth="1"/>
    <col min="4" max="4" width="11.6640625" bestFit="1" customWidth="1"/>
    <col min="5" max="5" width="6.5" bestFit="1" customWidth="1"/>
    <col min="6" max="6" width="0.6640625" customWidth="1"/>
    <col min="7" max="7" width="10.5" bestFit="1" customWidth="1"/>
    <col min="8" max="8" width="6.5" bestFit="1" customWidth="1"/>
    <col min="9" max="9" width="0.6640625" customWidth="1"/>
    <col min="10" max="10" width="11.83203125" bestFit="1" customWidth="1"/>
    <col min="11" max="11" width="7.6640625" bestFit="1" customWidth="1"/>
    <col min="12" max="12" width="0.6640625" customWidth="1"/>
    <col min="13" max="13" width="9.83203125" bestFit="1" customWidth="1"/>
    <col min="14" max="14" width="7.1640625" bestFit="1" customWidth="1"/>
    <col min="15" max="15" width="0.6640625" customWidth="1"/>
    <col min="17" max="17" width="19.83203125" bestFit="1" customWidth="1"/>
    <col min="18" max="18" width="8.1640625" bestFit="1" customWidth="1"/>
    <col min="19" max="19" width="0.6640625" customWidth="1"/>
  </cols>
  <sheetData>
    <row r="1" spans="1:19" ht="19" x14ac:dyDescent="0.25">
      <c r="A1" s="2" t="s">
        <v>48</v>
      </c>
      <c r="B1" s="2"/>
      <c r="C1" s="3"/>
      <c r="D1" s="2" t="s">
        <v>11</v>
      </c>
      <c r="E1" s="2"/>
      <c r="F1" s="3"/>
      <c r="G1" s="2" t="s">
        <v>54</v>
      </c>
      <c r="H1" s="2"/>
      <c r="I1" s="3"/>
      <c r="J1" s="2" t="s">
        <v>61</v>
      </c>
      <c r="K1" s="2"/>
      <c r="L1" s="3"/>
      <c r="M1" s="2" t="s">
        <v>24</v>
      </c>
      <c r="N1" s="2"/>
      <c r="O1" s="3"/>
      <c r="Q1" s="2" t="s">
        <v>40</v>
      </c>
      <c r="R1" s="2"/>
      <c r="S1" s="3"/>
    </row>
    <row r="2" spans="1:19" ht="19" x14ac:dyDescent="0.25">
      <c r="A2" s="2" t="s">
        <v>2</v>
      </c>
      <c r="B2" s="2">
        <f>SUM(B5:B19)</f>
        <v>19300</v>
      </c>
      <c r="C2" s="3"/>
      <c r="D2" s="2"/>
      <c r="E2" s="2">
        <f>SUM(E5:E18)</f>
        <v>-653</v>
      </c>
      <c r="F2" s="3"/>
      <c r="G2" s="2" t="s">
        <v>2</v>
      </c>
      <c r="H2" s="2">
        <f>SUM(H5:H10)</f>
        <v>5800</v>
      </c>
      <c r="I2" s="3"/>
      <c r="J2" s="2" t="s">
        <v>2</v>
      </c>
      <c r="K2" s="2">
        <f>SUM(K5:K12)</f>
        <v>3448</v>
      </c>
      <c r="L2" s="3"/>
      <c r="M2" t="s">
        <v>2</v>
      </c>
      <c r="N2">
        <f>SUM(N5:N21)</f>
        <v>149703</v>
      </c>
      <c r="O2" s="3"/>
      <c r="Q2" s="2" t="s">
        <v>2</v>
      </c>
      <c r="R2" s="2">
        <f>SUM(R5:R10)</f>
        <v>109755</v>
      </c>
      <c r="S2" s="3"/>
    </row>
    <row r="3" spans="1:19" ht="19" x14ac:dyDescent="0.25">
      <c r="A3" s="2" t="s">
        <v>49</v>
      </c>
      <c r="B3" s="2"/>
      <c r="C3" s="3"/>
      <c r="D3" s="2"/>
      <c r="E3" s="2"/>
      <c r="F3" s="3"/>
      <c r="G3" s="2"/>
      <c r="H3" s="2"/>
      <c r="I3" s="3"/>
      <c r="J3" s="2"/>
      <c r="K3" s="2"/>
      <c r="L3" s="3"/>
      <c r="O3" s="3"/>
      <c r="Q3" s="2"/>
      <c r="R3" s="2"/>
      <c r="S3" s="3"/>
    </row>
    <row r="4" spans="1:19" ht="19" x14ac:dyDescent="0.25">
      <c r="A4" s="2"/>
      <c r="B4" s="2"/>
      <c r="C4" s="3"/>
      <c r="D4" s="2"/>
      <c r="E4" s="2"/>
      <c r="F4" s="3"/>
      <c r="G4" s="2"/>
      <c r="H4" s="2"/>
      <c r="I4" s="3"/>
      <c r="J4" s="2"/>
      <c r="K4" s="2"/>
      <c r="L4" s="3"/>
      <c r="O4" s="3"/>
      <c r="Q4" s="2"/>
      <c r="R4" s="2"/>
      <c r="S4" s="3"/>
    </row>
    <row r="5" spans="1:19" ht="19" x14ac:dyDescent="0.25">
      <c r="A5" s="2" t="s">
        <v>50</v>
      </c>
      <c r="B5" s="2">
        <v>18250</v>
      </c>
      <c r="C5" s="3"/>
      <c r="D5" s="2" t="s">
        <v>50</v>
      </c>
      <c r="E5" s="2">
        <v>3104</v>
      </c>
      <c r="F5" s="3"/>
      <c r="G5" s="2" t="s">
        <v>55</v>
      </c>
      <c r="H5" s="2">
        <v>2600</v>
      </c>
      <c r="I5" s="3"/>
      <c r="J5" s="2" t="s">
        <v>50</v>
      </c>
      <c r="K5" s="2">
        <v>172</v>
      </c>
      <c r="L5" s="3"/>
      <c r="M5" t="s">
        <v>50</v>
      </c>
      <c r="N5" s="2">
        <v>99561</v>
      </c>
      <c r="O5" s="3"/>
      <c r="Q5" s="2" t="s">
        <v>41</v>
      </c>
      <c r="R5" s="2">
        <v>80480</v>
      </c>
      <c r="S5" s="3"/>
    </row>
    <row r="6" spans="1:19" ht="19" x14ac:dyDescent="0.25">
      <c r="A6" s="2">
        <v>1</v>
      </c>
      <c r="B6" s="2">
        <v>3050</v>
      </c>
      <c r="C6" s="3"/>
      <c r="D6" s="2">
        <v>1</v>
      </c>
      <c r="E6" s="2">
        <v>313</v>
      </c>
      <c r="F6" s="3"/>
      <c r="G6" s="2" t="s">
        <v>56</v>
      </c>
      <c r="H6" s="2">
        <v>800</v>
      </c>
      <c r="I6" s="3"/>
      <c r="J6" s="2">
        <v>1</v>
      </c>
      <c r="K6" s="2">
        <v>400</v>
      </c>
      <c r="L6" s="3"/>
      <c r="M6" s="2" t="s">
        <v>25</v>
      </c>
      <c r="N6" s="2">
        <v>3662</v>
      </c>
      <c r="O6" s="3"/>
      <c r="Q6" s="2" t="s">
        <v>42</v>
      </c>
      <c r="R6" s="2">
        <v>4000</v>
      </c>
      <c r="S6" s="3"/>
    </row>
    <row r="7" spans="1:19" ht="19" x14ac:dyDescent="0.25">
      <c r="A7" s="2">
        <v>2</v>
      </c>
      <c r="B7" s="2">
        <v>3050</v>
      </c>
      <c r="C7" s="3"/>
      <c r="D7" s="2">
        <v>2</v>
      </c>
      <c r="E7" s="2">
        <v>300</v>
      </c>
      <c r="F7" s="3"/>
      <c r="G7" s="2" t="s">
        <v>57</v>
      </c>
      <c r="H7" s="2">
        <v>1000</v>
      </c>
      <c r="I7" s="3"/>
      <c r="J7" s="2">
        <v>2</v>
      </c>
      <c r="K7" s="2">
        <v>800</v>
      </c>
      <c r="L7" s="3"/>
      <c r="M7" s="2" t="s">
        <v>26</v>
      </c>
      <c r="N7" s="2">
        <v>5250</v>
      </c>
      <c r="O7" s="3"/>
      <c r="Q7" s="2" t="s">
        <v>43</v>
      </c>
      <c r="R7" s="2">
        <v>2000</v>
      </c>
      <c r="S7" s="3"/>
    </row>
    <row r="8" spans="1:19" ht="19" x14ac:dyDescent="0.25">
      <c r="A8" s="2">
        <v>3</v>
      </c>
      <c r="B8" s="2">
        <v>3050</v>
      </c>
      <c r="C8" s="3"/>
      <c r="D8" s="2">
        <v>3</v>
      </c>
      <c r="E8" s="2">
        <v>313</v>
      </c>
      <c r="F8" s="3"/>
      <c r="G8" s="2" t="s">
        <v>58</v>
      </c>
      <c r="H8" s="2">
        <v>500</v>
      </c>
      <c r="I8" s="3"/>
      <c r="J8" s="2">
        <v>3</v>
      </c>
      <c r="K8" s="2">
        <v>800</v>
      </c>
      <c r="L8" s="3"/>
      <c r="M8" s="2" t="s">
        <v>27</v>
      </c>
      <c r="N8" s="2">
        <v>3908</v>
      </c>
      <c r="O8" s="3"/>
      <c r="Q8" s="2" t="s">
        <v>44</v>
      </c>
      <c r="R8" s="2">
        <v>13100</v>
      </c>
      <c r="S8" s="3"/>
    </row>
    <row r="9" spans="1:19" ht="19" x14ac:dyDescent="0.25">
      <c r="A9" s="2">
        <v>4</v>
      </c>
      <c r="B9" s="2">
        <v>3050</v>
      </c>
      <c r="C9" s="3"/>
      <c r="D9" s="2">
        <v>4</v>
      </c>
      <c r="E9" s="2">
        <v>313</v>
      </c>
      <c r="F9" s="3"/>
      <c r="G9" s="2" t="s">
        <v>59</v>
      </c>
      <c r="H9" s="2">
        <v>400</v>
      </c>
      <c r="I9" s="3"/>
      <c r="J9" s="2" t="s">
        <v>62</v>
      </c>
      <c r="K9" s="2">
        <v>5875</v>
      </c>
      <c r="L9" s="3"/>
      <c r="M9" s="2" t="s">
        <v>27</v>
      </c>
      <c r="N9" s="2">
        <v>585</v>
      </c>
      <c r="O9" s="3"/>
      <c r="Q9" s="2" t="s">
        <v>45</v>
      </c>
      <c r="R9" s="2">
        <v>7335</v>
      </c>
      <c r="S9" s="3"/>
    </row>
    <row r="10" spans="1:19" ht="19" x14ac:dyDescent="0.25">
      <c r="A10" s="2">
        <v>5</v>
      </c>
      <c r="B10" s="2">
        <v>3050</v>
      </c>
      <c r="C10" s="3"/>
      <c r="D10" s="2">
        <v>5</v>
      </c>
      <c r="E10" s="2">
        <v>313</v>
      </c>
      <c r="F10" s="3"/>
      <c r="G10" s="2" t="s">
        <v>60</v>
      </c>
      <c r="H10" s="2">
        <v>500</v>
      </c>
      <c r="I10" s="3"/>
      <c r="J10" s="2" t="s">
        <v>53</v>
      </c>
      <c r="K10" s="2">
        <v>-1587</v>
      </c>
      <c r="L10" s="3"/>
      <c r="M10" s="2" t="s">
        <v>28</v>
      </c>
      <c r="N10" s="2">
        <v>285</v>
      </c>
      <c r="O10" s="3"/>
      <c r="Q10" s="2" t="s">
        <v>46</v>
      </c>
      <c r="R10" s="2">
        <v>2840</v>
      </c>
      <c r="S10" s="3"/>
    </row>
    <row r="11" spans="1:19" ht="21" x14ac:dyDescent="0.25">
      <c r="A11" s="2">
        <v>6</v>
      </c>
      <c r="B11" s="2">
        <v>3000</v>
      </c>
      <c r="C11" s="3"/>
      <c r="D11" s="2">
        <v>6</v>
      </c>
      <c r="E11" s="2">
        <v>313</v>
      </c>
      <c r="F11" s="3"/>
      <c r="G11" s="2"/>
      <c r="H11" s="2"/>
      <c r="I11" s="3"/>
      <c r="J11" s="2" t="s">
        <v>63</v>
      </c>
      <c r="K11" s="2">
        <v>-585</v>
      </c>
      <c r="L11" s="3"/>
      <c r="M11" s="2" t="s">
        <v>29</v>
      </c>
      <c r="N11" s="2">
        <v>3708</v>
      </c>
      <c r="O11" s="3"/>
      <c r="Q11" s="1"/>
      <c r="S11" s="3"/>
    </row>
    <row r="12" spans="1:19" ht="19" x14ac:dyDescent="0.25">
      <c r="A12" s="2">
        <v>7</v>
      </c>
      <c r="B12" s="2">
        <v>3050</v>
      </c>
      <c r="C12" s="3"/>
      <c r="D12" s="2">
        <v>7</v>
      </c>
      <c r="E12" s="2">
        <v>313</v>
      </c>
      <c r="F12" s="3"/>
      <c r="I12" s="3"/>
      <c r="J12" s="2" t="s">
        <v>53</v>
      </c>
      <c r="K12" s="2">
        <v>-2427</v>
      </c>
      <c r="L12" s="3"/>
      <c r="M12" s="2" t="s">
        <v>31</v>
      </c>
      <c r="N12" s="2">
        <v>2000</v>
      </c>
      <c r="O12" s="3"/>
      <c r="S12" s="3"/>
    </row>
    <row r="13" spans="1:19" ht="19" x14ac:dyDescent="0.25">
      <c r="A13" s="2">
        <v>8</v>
      </c>
      <c r="B13" s="2">
        <v>3050</v>
      </c>
      <c r="C13" s="3"/>
      <c r="D13" s="2">
        <v>8</v>
      </c>
      <c r="E13" s="2">
        <v>313</v>
      </c>
      <c r="F13" s="3"/>
      <c r="I13" s="3"/>
      <c r="L13" s="3"/>
      <c r="M13" s="2" t="s">
        <v>30</v>
      </c>
      <c r="N13" s="2">
        <v>2023</v>
      </c>
      <c r="O13" s="3"/>
      <c r="S13" s="3"/>
    </row>
    <row r="14" spans="1:19" ht="19" x14ac:dyDescent="0.25">
      <c r="A14" s="2">
        <v>9</v>
      </c>
      <c r="B14" s="2">
        <v>3050</v>
      </c>
      <c r="C14" s="3"/>
      <c r="D14" s="2">
        <v>9</v>
      </c>
      <c r="E14" s="2">
        <v>313</v>
      </c>
      <c r="F14" s="3"/>
      <c r="I14" s="3"/>
      <c r="L14" s="3"/>
      <c r="M14" s="2" t="s">
        <v>32</v>
      </c>
      <c r="N14" s="2">
        <v>177</v>
      </c>
      <c r="O14" s="3"/>
      <c r="S14" s="3"/>
    </row>
    <row r="15" spans="1:19" ht="19" x14ac:dyDescent="0.25">
      <c r="A15" s="2">
        <v>10</v>
      </c>
      <c r="B15" s="2">
        <v>3050</v>
      </c>
      <c r="C15" s="3"/>
      <c r="D15" s="2">
        <v>10</v>
      </c>
      <c r="E15" s="2">
        <v>313</v>
      </c>
      <c r="F15" s="3"/>
      <c r="I15" s="3"/>
      <c r="L15" s="3"/>
      <c r="M15" s="2" t="s">
        <v>33</v>
      </c>
      <c r="N15" s="2">
        <v>3144</v>
      </c>
      <c r="O15" s="3"/>
      <c r="S15" s="3"/>
    </row>
    <row r="16" spans="1:19" ht="19" x14ac:dyDescent="0.25">
      <c r="A16" s="2">
        <v>11</v>
      </c>
      <c r="B16" s="2">
        <v>3050</v>
      </c>
      <c r="C16" s="3"/>
      <c r="D16" s="2">
        <v>11</v>
      </c>
      <c r="E16" s="2">
        <v>313</v>
      </c>
      <c r="F16" s="3"/>
      <c r="I16" s="3"/>
      <c r="L16" s="3"/>
      <c r="M16" s="2" t="s">
        <v>34</v>
      </c>
      <c r="N16" s="2">
        <v>292</v>
      </c>
      <c r="O16" s="3"/>
      <c r="S16" s="3"/>
    </row>
    <row r="17" spans="1:19" ht="19" x14ac:dyDescent="0.25">
      <c r="A17" s="2">
        <v>12</v>
      </c>
      <c r="B17" s="2">
        <v>3050</v>
      </c>
      <c r="C17" s="3"/>
      <c r="D17" s="2">
        <v>12</v>
      </c>
      <c r="E17" s="2">
        <v>313</v>
      </c>
      <c r="F17" s="3"/>
      <c r="I17" s="3"/>
      <c r="L17" s="3"/>
      <c r="M17" s="2" t="s">
        <v>35</v>
      </c>
      <c r="N17" s="2">
        <v>10000</v>
      </c>
      <c r="O17" s="3"/>
      <c r="S17" s="3"/>
    </row>
    <row r="18" spans="1:19" ht="19" x14ac:dyDescent="0.25">
      <c r="A18" s="2" t="s">
        <v>51</v>
      </c>
      <c r="B18" s="2">
        <v>-17750</v>
      </c>
      <c r="C18" s="3"/>
      <c r="D18" s="2" t="s">
        <v>53</v>
      </c>
      <c r="E18" s="2">
        <v>-7500</v>
      </c>
      <c r="F18" s="3"/>
      <c r="I18" s="3"/>
      <c r="L18" s="3"/>
      <c r="M18" s="2" t="s">
        <v>36</v>
      </c>
      <c r="N18" s="2">
        <v>2860</v>
      </c>
      <c r="O18" s="3"/>
      <c r="S18" s="3"/>
    </row>
    <row r="19" spans="1:19" ht="19" x14ac:dyDescent="0.25">
      <c r="A19" s="2" t="s">
        <v>52</v>
      </c>
      <c r="B19" s="2">
        <v>-17750</v>
      </c>
      <c r="C19" s="3"/>
      <c r="F19" s="3"/>
      <c r="I19" s="3"/>
      <c r="L19" s="3"/>
      <c r="M19" s="2" t="s">
        <v>37</v>
      </c>
      <c r="N19" s="2">
        <v>328</v>
      </c>
      <c r="O19" s="3"/>
      <c r="S19" s="3"/>
    </row>
    <row r="20" spans="1:19" ht="19" x14ac:dyDescent="0.25">
      <c r="C20" s="3"/>
      <c r="F20" s="3"/>
      <c r="I20" s="3"/>
      <c r="L20" s="3"/>
      <c r="M20" s="2" t="s">
        <v>38</v>
      </c>
      <c r="N20" s="2">
        <v>1920</v>
      </c>
      <c r="O20" s="3"/>
      <c r="S20" s="3"/>
    </row>
    <row r="21" spans="1:19" ht="19" x14ac:dyDescent="0.25">
      <c r="C21" s="3"/>
      <c r="F21" s="3"/>
      <c r="I21" s="3"/>
      <c r="L21" s="3"/>
      <c r="M21" s="2" t="s">
        <v>39</v>
      </c>
      <c r="N21" s="2">
        <v>10000</v>
      </c>
      <c r="O21" s="3"/>
      <c r="S21" s="3"/>
    </row>
    <row r="22" spans="1:19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6" spans="1:19" ht="19" x14ac:dyDescent="0.25">
      <c r="I26" s="3"/>
      <c r="J26" s="2" t="s">
        <v>47</v>
      </c>
      <c r="K26" s="2">
        <f>N2-R2</f>
        <v>39948</v>
      </c>
      <c r="L26" s="3"/>
    </row>
    <row r="27" spans="1:19" ht="19" x14ac:dyDescent="0.25">
      <c r="I27" s="3"/>
      <c r="J27" s="2" t="s">
        <v>48</v>
      </c>
      <c r="K27" s="2">
        <f>B2</f>
        <v>19300</v>
      </c>
      <c r="L27" s="3"/>
    </row>
    <row r="28" spans="1:19" ht="19" x14ac:dyDescent="0.25">
      <c r="I28" s="3"/>
      <c r="J28" s="2" t="s">
        <v>61</v>
      </c>
      <c r="K28" s="2">
        <f>K2</f>
        <v>3448</v>
      </c>
      <c r="L28" s="3"/>
    </row>
    <row r="29" spans="1:19" ht="19" x14ac:dyDescent="0.25">
      <c r="I29" s="3"/>
      <c r="J29" s="2" t="s">
        <v>64</v>
      </c>
      <c r="K29" s="2">
        <f>-H2</f>
        <v>-5800</v>
      </c>
      <c r="L29" s="3"/>
    </row>
    <row r="30" spans="1:19" ht="19" x14ac:dyDescent="0.25">
      <c r="I30" s="3"/>
      <c r="J30" s="2" t="s">
        <v>65</v>
      </c>
      <c r="K30" s="2">
        <v>-10500</v>
      </c>
      <c r="L30" s="3"/>
    </row>
    <row r="31" spans="1:19" ht="19" x14ac:dyDescent="0.25">
      <c r="I31" s="3"/>
      <c r="J31" s="2" t="s">
        <v>11</v>
      </c>
      <c r="K31" s="2">
        <f>E2</f>
        <v>-653</v>
      </c>
      <c r="L31" s="3"/>
    </row>
    <row r="32" spans="1:19" ht="19" x14ac:dyDescent="0.25">
      <c r="I32" s="3"/>
      <c r="J32" s="2" t="s">
        <v>66</v>
      </c>
      <c r="K32" s="2">
        <f>SUM(K26:K31)</f>
        <v>45743</v>
      </c>
      <c r="L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مصاريف الشهر</vt:lpstr>
      <vt:lpstr>الأرصدة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 Abutaleb</dc:creator>
  <cp:lastModifiedBy>Ahmed  Abutaleb</cp:lastModifiedBy>
  <dcterms:created xsi:type="dcterms:W3CDTF">2026-01-30T16:13:09Z</dcterms:created>
  <dcterms:modified xsi:type="dcterms:W3CDTF">2026-01-30T17:07:34Z</dcterms:modified>
</cp:coreProperties>
</file>